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"/>
    </mc:Choice>
  </mc:AlternateContent>
  <xr:revisionPtr revIDLastSave="0" documentId="13_ncr:1_{AAC72362-8E44-41F7-804B-67C11AF48343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급여명세서" sheetId="5" r:id="rId1"/>
    <sheet name="사원현황" sheetId="1" r:id="rId2"/>
    <sheet name="지급기준" sheetId="2" r:id="rId3"/>
    <sheet name="공제기준" sheetId="3" r:id="rId4"/>
  </sheets>
  <definedNames>
    <definedName name="_xlnm._FilterDatabase" localSheetId="1" hidden="1">사원현황!$D$2:$D$60</definedName>
    <definedName name="anscount" hidden="1">1</definedName>
    <definedName name="ID">사원현황!$A$2:$A$60</definedName>
    <definedName name="Name">사원현황!$B$2:$B$60</definedName>
    <definedName name="간이세액">공제기준!$C$4:$E$356</definedName>
    <definedName name="건강보험">공제기준!$L$4:$L$16</definedName>
    <definedName name="국민연금">공제기준!$H$4:$H$20</definedName>
    <definedName name="기본급테이블">지급기준!$B$4:$G$9</definedName>
    <definedName name="사원현황">사원현황!$A$1:$I$60</definedName>
    <definedName name="수당테이블">지급기준!$B$14:$F$15</definedName>
    <definedName name="월급여액">공제기준!$B$4:$B$356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5" l="1"/>
  <c r="D16" i="5"/>
  <c r="H7" i="5"/>
  <c r="F7" i="5"/>
  <c r="D7" i="5"/>
  <c r="D20" i="5" s="1"/>
  <c r="J6" i="5"/>
  <c r="D17" i="5" s="1"/>
  <c r="H6" i="5"/>
  <c r="F6" i="5"/>
  <c r="C26" i="5" s="1"/>
  <c r="D23" i="5" l="1"/>
  <c r="J16" i="5"/>
  <c r="J17" i="5"/>
  <c r="J23" i="5" l="1"/>
  <c r="H16" i="5"/>
  <c r="D11" i="5"/>
  <c r="H19" i="5"/>
  <c r="H18" i="5"/>
  <c r="H17" i="5" l="1"/>
  <c r="H23" i="5" s="1"/>
  <c r="F11" i="5" s="1"/>
  <c r="H11" i="5" s="1"/>
  <c r="J11" i="5" s="1"/>
</calcChain>
</file>

<file path=xl/sharedStrings.xml><?xml version="1.0" encoding="utf-8"?>
<sst xmlns="http://schemas.openxmlformats.org/spreadsheetml/2006/main" count="382" uniqueCount="226">
  <si>
    <t>부서</t>
    <phoneticPr fontId="3" type="noConversion"/>
  </si>
  <si>
    <t>직책</t>
    <phoneticPr fontId="3" type="noConversion"/>
  </si>
  <si>
    <t>급</t>
    <phoneticPr fontId="3" type="noConversion"/>
  </si>
  <si>
    <t>호</t>
    <phoneticPr fontId="3" type="noConversion"/>
  </si>
  <si>
    <t>계좌번호</t>
    <phoneticPr fontId="3" type="noConversion"/>
  </si>
  <si>
    <t>고수진</t>
  </si>
  <si>
    <t>품질관리부</t>
  </si>
  <si>
    <t>사원</t>
  </si>
  <si>
    <t>공성식</t>
  </si>
  <si>
    <t>연구소</t>
  </si>
  <si>
    <t>차장</t>
  </si>
  <si>
    <t>권기윤</t>
  </si>
  <si>
    <t>품질보증</t>
  </si>
  <si>
    <t>권해옥</t>
  </si>
  <si>
    <t>대리</t>
  </si>
  <si>
    <t>권형석</t>
  </si>
  <si>
    <t>개발실</t>
  </si>
  <si>
    <t>김나영</t>
  </si>
  <si>
    <t>생산부</t>
  </si>
  <si>
    <t>과장</t>
  </si>
  <si>
    <t>김동영</t>
  </si>
  <si>
    <t>설계실</t>
  </si>
  <si>
    <t>김동옥</t>
  </si>
  <si>
    <t>부장</t>
  </si>
  <si>
    <t>김미성</t>
  </si>
  <si>
    <t>해외지사</t>
  </si>
  <si>
    <t>김미진</t>
  </si>
  <si>
    <t>김병주</t>
  </si>
  <si>
    <t>김소영</t>
  </si>
  <si>
    <t>김운식</t>
  </si>
  <si>
    <t>김원선</t>
  </si>
  <si>
    <t>사업부</t>
  </si>
  <si>
    <t>김재주</t>
  </si>
  <si>
    <t>김진욱</t>
  </si>
  <si>
    <t>김현기</t>
  </si>
  <si>
    <t>나형수</t>
  </si>
  <si>
    <t>남택영</t>
  </si>
  <si>
    <t>명문수</t>
  </si>
  <si>
    <t>박선호</t>
  </si>
  <si>
    <t>박정현</t>
  </si>
  <si>
    <t>박형배</t>
  </si>
  <si>
    <t>배경식</t>
  </si>
  <si>
    <t>석영진</t>
  </si>
  <si>
    <t>선경희</t>
  </si>
  <si>
    <t>성환식</t>
  </si>
  <si>
    <t>송대규</t>
  </si>
  <si>
    <t>송부희</t>
  </si>
  <si>
    <t>신문정</t>
  </si>
  <si>
    <t>심성법</t>
  </si>
  <si>
    <t>양창호</t>
  </si>
  <si>
    <t>어은숙</t>
  </si>
  <si>
    <t>오현정</t>
  </si>
  <si>
    <t>윤미옥</t>
  </si>
  <si>
    <t>윤치원</t>
  </si>
  <si>
    <t>은창우</t>
  </si>
  <si>
    <t>이광순</t>
  </si>
  <si>
    <t>기판반</t>
  </si>
  <si>
    <t>이기락</t>
  </si>
  <si>
    <t>이랑</t>
  </si>
  <si>
    <t>이영낭</t>
  </si>
  <si>
    <t>이영선</t>
  </si>
  <si>
    <t>이인영</t>
  </si>
  <si>
    <t>이진수</t>
  </si>
  <si>
    <t>이창일</t>
  </si>
  <si>
    <t>이하나</t>
  </si>
  <si>
    <t>장옥경</t>
  </si>
  <si>
    <t>전미희</t>
  </si>
  <si>
    <t>전용태</t>
  </si>
  <si>
    <t>정대식</t>
  </si>
  <si>
    <t>조선자</t>
  </si>
  <si>
    <t>자재</t>
  </si>
  <si>
    <t>조수남</t>
  </si>
  <si>
    <t>품질보증계</t>
  </si>
  <si>
    <t>조형준</t>
  </si>
  <si>
    <t>최광림</t>
  </si>
  <si>
    <t>최은희</t>
  </si>
  <si>
    <t>최재웅</t>
  </si>
  <si>
    <t>최지현</t>
  </si>
  <si>
    <t>홍경우</t>
  </si>
  <si>
    <t>해외협력</t>
  </si>
  <si>
    <t>황윤기</t>
  </si>
  <si>
    <t>직  책</t>
  </si>
  <si>
    <t>금  액</t>
  </si>
  <si>
    <t>간이세액 조건표</t>
    <phoneticPr fontId="3" type="noConversion"/>
  </si>
  <si>
    <t>국민연금 표준소득월액표</t>
    <phoneticPr fontId="3" type="noConversion"/>
  </si>
  <si>
    <t>건강보험 표준보수월액표</t>
    <phoneticPr fontId="3" type="noConversion"/>
  </si>
  <si>
    <t xml:space="preserve">        부양가족수
월 급여액</t>
    <phoneticPr fontId="3" type="noConversion"/>
  </si>
  <si>
    <t>등급</t>
  </si>
  <si>
    <t>표준소득월액</t>
  </si>
  <si>
    <t>세율</t>
  </si>
  <si>
    <t> 표준보수월액</t>
  </si>
  <si>
    <t>10 </t>
  </si>
  <si>
    <t>11 </t>
  </si>
  <si>
    <t>12 </t>
  </si>
  <si>
    <t>13 </t>
  </si>
  <si>
    <t>14 </t>
  </si>
  <si>
    <t>15 </t>
  </si>
  <si>
    <t>16 </t>
  </si>
  <si>
    <t>17 </t>
  </si>
  <si>
    <t>18 </t>
  </si>
  <si>
    <t>19 </t>
  </si>
  <si>
    <t>20 </t>
  </si>
  <si>
    <t>21 </t>
  </si>
  <si>
    <t>22 </t>
  </si>
  <si>
    <t>제일</t>
  </si>
  <si>
    <t>600-20-086369</t>
  </si>
  <si>
    <t>기업</t>
  </si>
  <si>
    <t>604-20-553450</t>
  </si>
  <si>
    <t>우체국</t>
  </si>
  <si>
    <t>591-067058-02-002</t>
  </si>
  <si>
    <t>농협</t>
  </si>
  <si>
    <t>216-02-010837</t>
  </si>
  <si>
    <t>국민</t>
  </si>
  <si>
    <t>305-20-010977</t>
  </si>
  <si>
    <t>신한</t>
  </si>
  <si>
    <t>083-288-254781-2</t>
  </si>
  <si>
    <t>하나</t>
  </si>
  <si>
    <t>174-08-377085</t>
  </si>
  <si>
    <t>씨티</t>
  </si>
  <si>
    <t>240-21-0555-812</t>
  </si>
  <si>
    <t>614-20-072386</t>
  </si>
  <si>
    <t>614-10-010803</t>
  </si>
  <si>
    <t>353-20-119613</t>
  </si>
  <si>
    <t>072-02-154411</t>
  </si>
  <si>
    <t>256-150925-02-001</t>
  </si>
  <si>
    <t>397-15-190133</t>
  </si>
  <si>
    <t>115-08-071822</t>
  </si>
  <si>
    <t>009-037318-02-501</t>
  </si>
  <si>
    <t>371-02-040090</t>
  </si>
  <si>
    <t>259-910055-14707</t>
  </si>
  <si>
    <t>361-08-064637</t>
  </si>
  <si>
    <t>984-87-0384-335</t>
  </si>
  <si>
    <t>210-12-059983</t>
  </si>
  <si>
    <t>614-20-048837</t>
  </si>
  <si>
    <t>841-145-298236</t>
  </si>
  <si>
    <t>021-281408-12-401</t>
  </si>
  <si>
    <t>291-01-0005-181</t>
  </si>
  <si>
    <t>874-98-0358424</t>
  </si>
  <si>
    <t>367-02-003766</t>
  </si>
  <si>
    <t>84287-20-167738</t>
  </si>
  <si>
    <t>499-063624-02-101</t>
  </si>
  <si>
    <t>366-810003-51-907</t>
  </si>
  <si>
    <t>207010-56-002242</t>
  </si>
  <si>
    <t>600-20-086370</t>
  </si>
  <si>
    <t>604-20-553451</t>
  </si>
  <si>
    <t>591-067058-02-003</t>
  </si>
  <si>
    <t>216-02-010838</t>
  </si>
  <si>
    <t>305-20-010978</t>
  </si>
  <si>
    <t>083-288-254781-3</t>
  </si>
  <si>
    <t>174-08-377086</t>
  </si>
  <si>
    <t>시티</t>
  </si>
  <si>
    <t>240-21-0555-813</t>
  </si>
  <si>
    <t>우리</t>
  </si>
  <si>
    <t>614-20-072387</t>
  </si>
  <si>
    <t>614-10-010804</t>
  </si>
  <si>
    <t>353-20-119614</t>
  </si>
  <si>
    <t>072-02-154412</t>
  </si>
  <si>
    <t>256-150925-02-002</t>
  </si>
  <si>
    <t>397-15-190134</t>
  </si>
  <si>
    <t>115-08-071823</t>
  </si>
  <si>
    <t>외환</t>
  </si>
  <si>
    <t>009-037318-02-502</t>
  </si>
  <si>
    <t>371-02-040091</t>
  </si>
  <si>
    <t>259-910055-14708</t>
  </si>
  <si>
    <t>361-08-064638</t>
  </si>
  <si>
    <t>984-87-0384-336</t>
  </si>
  <si>
    <t>210-12-059984</t>
  </si>
  <si>
    <t>새마을금고</t>
  </si>
  <si>
    <t>021-281408-12-402</t>
  </si>
  <si>
    <t>291-01-0005-182</t>
  </si>
  <si>
    <t>874-98-0358425</t>
  </si>
  <si>
    <t>367-02-003767</t>
  </si>
  <si>
    <t>단위농협</t>
  </si>
  <si>
    <t>84287-20-167739</t>
  </si>
  <si>
    <t>499-063624-02-102</t>
  </si>
  <si>
    <t>366-810003-51-908</t>
  </si>
  <si>
    <t>기본급 지급기준</t>
    <phoneticPr fontId="3" type="noConversion"/>
  </si>
  <si>
    <t>직책수당 지급기준</t>
    <phoneticPr fontId="3" type="noConversion"/>
  </si>
  <si>
    <t>요율</t>
    <phoneticPr fontId="3" type="noConversion"/>
  </si>
  <si>
    <t>소득합계</t>
    <phoneticPr fontId="3" type="noConversion"/>
  </si>
  <si>
    <t>공제합계</t>
    <phoneticPr fontId="3" type="noConversion"/>
  </si>
  <si>
    <t>실수령액</t>
    <phoneticPr fontId="3" type="noConversion"/>
  </si>
  <si>
    <t>지급일</t>
    <phoneticPr fontId="3" type="noConversion"/>
  </si>
  <si>
    <t>통상임금</t>
    <phoneticPr fontId="3" type="noConversion"/>
  </si>
  <si>
    <t>기타임금</t>
    <phoneticPr fontId="3" type="noConversion"/>
  </si>
  <si>
    <t>재세금 공제</t>
    <phoneticPr fontId="3" type="noConversion"/>
  </si>
  <si>
    <t>기타공제</t>
    <phoneticPr fontId="3" type="noConversion"/>
  </si>
  <si>
    <t>기본급</t>
    <phoneticPr fontId="3" type="noConversion"/>
  </si>
  <si>
    <t>시간외수당</t>
    <phoneticPr fontId="3" type="noConversion"/>
  </si>
  <si>
    <t>갑근세</t>
    <phoneticPr fontId="3" type="noConversion"/>
  </si>
  <si>
    <t>휴일근무수당</t>
    <phoneticPr fontId="3" type="noConversion"/>
  </si>
  <si>
    <t>주민세</t>
    <phoneticPr fontId="3" type="noConversion"/>
  </si>
  <si>
    <t>노조회비</t>
    <phoneticPr fontId="3" type="noConversion"/>
  </si>
  <si>
    <t>직위수당</t>
    <phoneticPr fontId="3" type="noConversion"/>
  </si>
  <si>
    <t>심야수당</t>
    <phoneticPr fontId="3" type="noConversion"/>
  </si>
  <si>
    <t>건강보험료</t>
    <phoneticPr fontId="3" type="noConversion"/>
  </si>
  <si>
    <t>직무수당</t>
    <phoneticPr fontId="3" type="noConversion"/>
  </si>
  <si>
    <t>휴가보상금</t>
  </si>
  <si>
    <t>국민연금</t>
    <phoneticPr fontId="3" type="noConversion"/>
  </si>
  <si>
    <t>직책수당</t>
    <phoneticPr fontId="3" type="noConversion"/>
  </si>
  <si>
    <t>능률급</t>
  </si>
  <si>
    <t>고용보험료</t>
    <phoneticPr fontId="3" type="noConversion"/>
  </si>
  <si>
    <t>근속수당</t>
    <phoneticPr fontId="3" type="noConversion"/>
  </si>
  <si>
    <t>장학금</t>
  </si>
  <si>
    <t>통상임금계</t>
    <phoneticPr fontId="3" type="noConversion"/>
  </si>
  <si>
    <t>기타임금계</t>
    <phoneticPr fontId="3" type="noConversion"/>
  </si>
  <si>
    <t>제세금공제계</t>
    <phoneticPr fontId="3" type="noConversion"/>
  </si>
  <si>
    <t>기타공제계</t>
    <phoneticPr fontId="3" type="noConversion"/>
  </si>
  <si>
    <t>3월 급여 명세서</t>
    <phoneticPr fontId="3" type="noConversion"/>
  </si>
  <si>
    <t>사번</t>
    <phoneticPr fontId="3" type="noConversion"/>
  </si>
  <si>
    <t>성명</t>
    <phoneticPr fontId="3" type="noConversion"/>
  </si>
  <si>
    <t>부서</t>
    <phoneticPr fontId="3" type="noConversion"/>
  </si>
  <si>
    <t>직책</t>
    <phoneticPr fontId="3" type="noConversion"/>
  </si>
  <si>
    <t>계좌번호</t>
    <phoneticPr fontId="3" type="noConversion"/>
  </si>
  <si>
    <t>부양가족수</t>
    <phoneticPr fontId="3" type="noConversion"/>
  </si>
  <si>
    <t>지급은행</t>
    <phoneticPr fontId="3" type="noConversion"/>
  </si>
  <si>
    <t>▶ 공제 세부내역</t>
    <phoneticPr fontId="3" type="noConversion"/>
  </si>
  <si>
    <t>기타</t>
    <phoneticPr fontId="3" type="noConversion"/>
  </si>
  <si>
    <t>가족수당</t>
    <phoneticPr fontId="3" type="noConversion"/>
  </si>
  <si>
    <t xml:space="preserve">         호
급</t>
    <phoneticPr fontId="3" type="noConversion"/>
  </si>
  <si>
    <t>동우회비</t>
    <phoneticPr fontId="3" type="noConversion"/>
  </si>
  <si>
    <t>1. 인적사항</t>
    <phoneticPr fontId="3" type="noConversion"/>
  </si>
  <si>
    <r>
      <rPr>
        <b/>
        <sz val="11"/>
        <color theme="1"/>
        <rFont val="맑은 고딕"/>
        <family val="3"/>
        <charset val="129"/>
      </rPr>
      <t xml:space="preserve">2. </t>
    </r>
    <r>
      <rPr>
        <b/>
        <sz val="11"/>
        <color theme="1"/>
        <rFont val="Calibri"/>
        <family val="3"/>
        <charset val="129"/>
        <scheme val="minor"/>
      </rPr>
      <t>급여지급내역 요약</t>
    </r>
    <phoneticPr fontId="3" type="noConversion"/>
  </si>
  <si>
    <t>3. 소득 세부내역</t>
    <phoneticPr fontId="3" type="noConversion"/>
  </si>
  <si>
    <t>ID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</si>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</sst>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64" formatCode="#,##0_ "/>
    <numFmt numFmtId="165" formatCode="#,##0_);\(#,##0\)"/>
    <numFmt numFmtId="166" formatCode="0.0%"/>
    <numFmt numFmtId="167" formatCode="0.000%"/>
  </numFmts>
  <fonts count="13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b/>
      <sz val="12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b/>
      <sz val="14"/>
      <color theme="1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1"/>
      <color rgb="FF000000"/>
      <name val="Calibri Light"/>
      <family val="3"/>
      <charset val="129"/>
      <scheme val="major"/>
    </font>
    <font>
      <sz val="11"/>
      <color rgb="FF000000"/>
      <name val="한양신명조"/>
      <family val="3"/>
      <charset val="129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22"/>
      <color theme="1"/>
      <name val="Calibri"/>
      <family val="3"/>
      <charset val="129"/>
      <scheme val="minor"/>
    </font>
    <font>
      <sz val="22"/>
      <color theme="1"/>
      <name val="Calibri"/>
      <family val="3"/>
      <charset val="129"/>
      <scheme val="minor"/>
    </font>
    <font>
      <b/>
      <sz val="11"/>
      <color theme="1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theme="0" tint="-0.499984740745262"/>
      </right>
      <top style="medium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auto="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/>
      <right style="thin">
        <color theme="0" tint="-0.499984740745262"/>
      </right>
      <top style="medium">
        <color auto="1"/>
      </top>
      <bottom style="medium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auto="1"/>
      </top>
      <bottom style="medium">
        <color auto="1"/>
      </bottom>
      <diagonal/>
    </border>
    <border>
      <left style="thin">
        <color theme="0" tint="-0.499984740745262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</cellStyleXfs>
  <cellXfs count="11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1" xfId="1" applyFont="1" applyBorder="1">
      <alignment vertical="center"/>
    </xf>
    <xf numFmtId="164" fontId="0" fillId="0" borderId="1" xfId="0" applyNumberFormat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165" fontId="6" fillId="0" borderId="9" xfId="1" applyNumberFormat="1" applyFont="1" applyBorder="1" applyAlignment="1">
      <alignment horizontal="right" vertical="top" wrapText="1" indent="1"/>
    </xf>
    <xf numFmtId="165" fontId="6" fillId="0" borderId="10" xfId="0" applyNumberFormat="1" applyFont="1" applyBorder="1" applyAlignment="1">
      <alignment horizontal="right" vertical="top" wrapText="1" indent="1"/>
    </xf>
    <xf numFmtId="165" fontId="6" fillId="0" borderId="11" xfId="0" applyNumberFormat="1" applyFont="1" applyBorder="1" applyAlignment="1">
      <alignment horizontal="right" vertical="top" wrapText="1" indent="1"/>
    </xf>
    <xf numFmtId="41" fontId="0" fillId="0" borderId="12" xfId="1" applyFont="1" applyBorder="1">
      <alignment vertical="center"/>
    </xf>
    <xf numFmtId="41" fontId="0" fillId="0" borderId="13" xfId="1" applyFont="1" applyBorder="1">
      <alignment vertical="center"/>
    </xf>
    <xf numFmtId="41" fontId="0" fillId="0" borderId="15" xfId="1" applyFont="1" applyBorder="1" applyAlignment="1">
      <alignment horizontal="right" vertical="center"/>
    </xf>
    <xf numFmtId="41" fontId="0" fillId="0" borderId="16" xfId="1" applyFont="1" applyBorder="1">
      <alignment vertical="center"/>
    </xf>
    <xf numFmtId="41" fontId="0" fillId="0" borderId="18" xfId="1" applyFont="1" applyBorder="1">
      <alignment vertical="center"/>
    </xf>
    <xf numFmtId="41" fontId="0" fillId="0" borderId="19" xfId="1" applyFont="1" applyBorder="1">
      <alignment vertical="center"/>
    </xf>
    <xf numFmtId="41" fontId="0" fillId="0" borderId="12" xfId="1" applyFont="1" applyBorder="1" applyAlignment="1">
      <alignment horizontal="right" vertical="center"/>
    </xf>
    <xf numFmtId="165" fontId="6" fillId="0" borderId="22" xfId="1" applyNumberFormat="1" applyFont="1" applyBorder="1" applyAlignment="1">
      <alignment horizontal="right" vertical="top" wrapText="1" indent="1"/>
    </xf>
    <xf numFmtId="165" fontId="6" fillId="0" borderId="23" xfId="0" applyNumberFormat="1" applyFont="1" applyBorder="1" applyAlignment="1">
      <alignment horizontal="right" vertical="top" wrapText="1" indent="1"/>
    </xf>
    <xf numFmtId="165" fontId="6" fillId="0" borderId="24" xfId="0" applyNumberFormat="1" applyFont="1" applyBorder="1" applyAlignment="1">
      <alignment horizontal="right" vertical="top" wrapText="1" indent="1"/>
    </xf>
    <xf numFmtId="41" fontId="0" fillId="0" borderId="18" xfId="1" applyFont="1" applyBorder="1" applyAlignment="1">
      <alignment horizontal="right" vertical="center"/>
    </xf>
    <xf numFmtId="41" fontId="0" fillId="0" borderId="25" xfId="1" applyFont="1" applyBorder="1" applyAlignment="1">
      <alignment horizontal="right" vertical="center"/>
    </xf>
    <xf numFmtId="41" fontId="0" fillId="0" borderId="26" xfId="1" applyFont="1" applyBorder="1">
      <alignment vertical="center"/>
    </xf>
    <xf numFmtId="41" fontId="0" fillId="0" borderId="25" xfId="1" applyFont="1" applyBorder="1">
      <alignment vertical="center"/>
    </xf>
    <xf numFmtId="0" fontId="7" fillId="0" borderId="0" xfId="0" applyFont="1" applyAlignment="1">
      <alignment horizontal="right" vertical="top" wrapText="1"/>
    </xf>
    <xf numFmtId="165" fontId="6" fillId="0" borderId="29" xfId="1" applyNumberFormat="1" applyFont="1" applyBorder="1" applyAlignment="1">
      <alignment horizontal="right" vertical="top" wrapText="1" indent="1"/>
    </xf>
    <xf numFmtId="165" fontId="6" fillId="0" borderId="30" xfId="0" applyNumberFormat="1" applyFont="1" applyBorder="1" applyAlignment="1">
      <alignment horizontal="right" vertical="top" wrapText="1" indent="1"/>
    </xf>
    <xf numFmtId="165" fontId="6" fillId="0" borderId="31" xfId="0" applyNumberFormat="1" applyFont="1" applyBorder="1" applyAlignment="1">
      <alignment horizontal="right" vertical="top" wrapText="1" indent="1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left" vertical="center" indent="1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left" vertical="center" indent="1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left" vertical="center" indent="1"/>
    </xf>
    <xf numFmtId="0" fontId="2" fillId="2" borderId="41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0" xfId="0" applyFill="1">
      <alignment vertical="center"/>
    </xf>
    <xf numFmtId="0" fontId="8" fillId="6" borderId="0" xfId="0" applyFont="1" applyFill="1">
      <alignment vertical="center"/>
    </xf>
    <xf numFmtId="0" fontId="8" fillId="0" borderId="0" xfId="0" applyFont="1">
      <alignment vertical="center"/>
    </xf>
    <xf numFmtId="0" fontId="8" fillId="7" borderId="59" xfId="0" applyFont="1" applyFill="1" applyBorder="1" applyAlignment="1">
      <alignment horizontal="center" vertical="center"/>
    </xf>
    <xf numFmtId="0" fontId="8" fillId="7" borderId="60" xfId="0" applyFont="1" applyFill="1" applyBorder="1" applyAlignment="1">
      <alignment horizontal="center" vertical="center"/>
    </xf>
    <xf numFmtId="0" fontId="8" fillId="7" borderId="62" xfId="0" applyFont="1" applyFill="1" applyBorder="1" applyAlignment="1">
      <alignment horizontal="center" vertical="center"/>
    </xf>
    <xf numFmtId="0" fontId="8" fillId="7" borderId="63" xfId="0" applyFont="1" applyFill="1" applyBorder="1" applyAlignment="1">
      <alignment horizontal="center" vertical="center"/>
    </xf>
    <xf numFmtId="0" fontId="8" fillId="7" borderId="49" xfId="0" applyFont="1" applyFill="1" applyBorder="1" applyAlignment="1">
      <alignment horizontal="center" vertical="center"/>
    </xf>
    <xf numFmtId="0" fontId="8" fillId="7" borderId="50" xfId="0" applyFont="1" applyFill="1" applyBorder="1" applyAlignment="1">
      <alignment horizontal="center" vertical="center"/>
    </xf>
    <xf numFmtId="0" fontId="8" fillId="7" borderId="44" xfId="0" applyFont="1" applyFill="1" applyBorder="1" applyAlignment="1">
      <alignment horizontal="center" vertical="center"/>
    </xf>
    <xf numFmtId="0" fontId="8" fillId="7" borderId="52" xfId="0" applyFont="1" applyFill="1" applyBorder="1" applyAlignment="1">
      <alignment horizontal="center" vertical="center"/>
    </xf>
    <xf numFmtId="0" fontId="8" fillId="7" borderId="54" xfId="0" applyFont="1" applyFill="1" applyBorder="1" applyAlignment="1">
      <alignment horizontal="center" vertical="center"/>
    </xf>
    <xf numFmtId="0" fontId="8" fillId="7" borderId="55" xfId="0" applyFont="1" applyFill="1" applyBorder="1" applyAlignment="1">
      <alignment horizontal="center" vertical="center"/>
    </xf>
    <xf numFmtId="0" fontId="8" fillId="7" borderId="57" xfId="0" applyFont="1" applyFill="1" applyBorder="1" applyAlignment="1">
      <alignment horizontal="center" vertical="center"/>
    </xf>
    <xf numFmtId="0" fontId="8" fillId="7" borderId="58" xfId="0" applyFont="1" applyFill="1" applyBorder="1" applyAlignment="1">
      <alignment horizontal="center" vertical="center"/>
    </xf>
    <xf numFmtId="0" fontId="8" fillId="7" borderId="65" xfId="0" applyFont="1" applyFill="1" applyBorder="1" applyAlignment="1">
      <alignment horizontal="center" vertical="center"/>
    </xf>
    <xf numFmtId="0" fontId="8" fillId="7" borderId="66" xfId="0" applyFont="1" applyFill="1" applyBorder="1" applyAlignment="1">
      <alignment horizontal="center" vertical="center"/>
    </xf>
    <xf numFmtId="14" fontId="8" fillId="0" borderId="67" xfId="0" applyNumberFormat="1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41" fontId="8" fillId="0" borderId="66" xfId="1" applyFont="1" applyBorder="1">
      <alignment vertical="center"/>
    </xf>
    <xf numFmtId="41" fontId="8" fillId="0" borderId="50" xfId="1" applyFont="1" applyBorder="1">
      <alignment vertical="center"/>
    </xf>
    <xf numFmtId="41" fontId="8" fillId="0" borderId="52" xfId="1" applyFont="1" applyBorder="1">
      <alignment vertical="center"/>
    </xf>
    <xf numFmtId="41" fontId="8" fillId="0" borderId="55" xfId="1" applyFont="1" applyBorder="1">
      <alignment vertical="center"/>
    </xf>
    <xf numFmtId="41" fontId="8" fillId="0" borderId="58" xfId="1" applyFont="1" applyBorder="1">
      <alignment vertical="center"/>
    </xf>
    <xf numFmtId="41" fontId="8" fillId="0" borderId="51" xfId="1" applyFont="1" applyBorder="1">
      <alignment vertical="center"/>
    </xf>
    <xf numFmtId="41" fontId="8" fillId="0" borderId="53" xfId="1" applyFont="1" applyBorder="1">
      <alignment vertical="center"/>
    </xf>
    <xf numFmtId="41" fontId="8" fillId="0" borderId="56" xfId="1" applyFont="1" applyBorder="1">
      <alignment vertical="center"/>
    </xf>
    <xf numFmtId="41" fontId="8" fillId="0" borderId="45" xfId="1" applyFont="1" applyBorder="1">
      <alignment vertical="center"/>
    </xf>
    <xf numFmtId="0" fontId="5" fillId="2" borderId="1" xfId="1" applyNumberFormat="1" applyFont="1" applyFill="1" applyBorder="1" applyAlignment="1">
      <alignment horizontal="center" vertical="center"/>
    </xf>
    <xf numFmtId="0" fontId="5" fillId="2" borderId="2" xfId="1" applyNumberFormat="1" applyFont="1" applyFill="1" applyBorder="1" applyAlignment="1">
      <alignment horizontal="left" vertical="center" wrapText="1"/>
    </xf>
    <xf numFmtId="0" fontId="0" fillId="0" borderId="68" xfId="0" applyBorder="1">
      <alignment vertical="center"/>
    </xf>
    <xf numFmtId="0" fontId="0" fillId="6" borderId="69" xfId="0" applyFill="1" applyBorder="1">
      <alignment vertical="center"/>
    </xf>
    <xf numFmtId="0" fontId="0" fillId="0" borderId="70" xfId="0" applyBorder="1">
      <alignment vertical="center"/>
    </xf>
    <xf numFmtId="0" fontId="0" fillId="0" borderId="71" xfId="0" applyBorder="1">
      <alignment vertical="center"/>
    </xf>
    <xf numFmtId="0" fontId="10" fillId="6" borderId="0" xfId="0" applyFont="1" applyFill="1" applyBorder="1" applyAlignment="1">
      <alignment horizontal="centerContinuous" vertical="center"/>
    </xf>
    <xf numFmtId="0" fontId="0" fillId="6" borderId="0" xfId="0" applyFill="1" applyBorder="1" applyAlignment="1">
      <alignment horizontal="centerContinuous" vertical="center"/>
    </xf>
    <xf numFmtId="0" fontId="11" fillId="6" borderId="0" xfId="0" applyFont="1" applyFill="1" applyBorder="1" applyAlignment="1">
      <alignment horizontal="centerContinuous" vertical="center"/>
    </xf>
    <xf numFmtId="0" fontId="0" fillId="0" borderId="72" xfId="0" applyBorder="1">
      <alignment vertical="center"/>
    </xf>
    <xf numFmtId="0" fontId="0" fillId="6" borderId="0" xfId="0" applyFill="1" applyBorder="1">
      <alignment vertical="center"/>
    </xf>
    <xf numFmtId="0" fontId="8" fillId="0" borderId="71" xfId="0" applyFont="1" applyBorder="1">
      <alignment vertical="center"/>
    </xf>
    <xf numFmtId="0" fontId="12" fillId="6" borderId="0" xfId="0" applyFont="1" applyFill="1" applyBorder="1">
      <alignment vertical="center"/>
    </xf>
    <xf numFmtId="0" fontId="8" fillId="6" borderId="0" xfId="0" applyFont="1" applyFill="1" applyBorder="1">
      <alignment vertical="center"/>
    </xf>
    <xf numFmtId="0" fontId="8" fillId="0" borderId="72" xfId="0" applyFont="1" applyBorder="1">
      <alignment vertical="center"/>
    </xf>
    <xf numFmtId="0" fontId="5" fillId="6" borderId="0" xfId="0" applyFont="1" applyFill="1" applyBorder="1">
      <alignment vertical="center"/>
    </xf>
    <xf numFmtId="0" fontId="8" fillId="0" borderId="73" xfId="0" applyFont="1" applyBorder="1">
      <alignment vertical="center"/>
    </xf>
    <xf numFmtId="0" fontId="8" fillId="6" borderId="74" xfId="0" applyFont="1" applyFill="1" applyBorder="1">
      <alignment vertical="center"/>
    </xf>
    <xf numFmtId="0" fontId="8" fillId="0" borderId="75" xfId="0" applyFont="1" applyBorder="1">
      <alignment vertical="center"/>
    </xf>
    <xf numFmtId="0" fontId="8" fillId="8" borderId="60" xfId="0" applyFont="1" applyFill="1" applyBorder="1" applyAlignment="1">
      <alignment horizontal="center" vertical="center"/>
    </xf>
    <xf numFmtId="0" fontId="8" fillId="7" borderId="46" xfId="0" applyFont="1" applyFill="1" applyBorder="1" applyAlignment="1">
      <alignment horizontal="center" vertical="center"/>
    </xf>
    <xf numFmtId="0" fontId="8" fillId="7" borderId="47" xfId="0" applyFont="1" applyFill="1" applyBorder="1" applyAlignment="1">
      <alignment horizontal="center" vertical="center"/>
    </xf>
    <xf numFmtId="0" fontId="8" fillId="7" borderId="48" xfId="0" applyFont="1" applyFill="1" applyBorder="1" applyAlignment="1">
      <alignment horizontal="center" vertical="center"/>
    </xf>
    <xf numFmtId="0" fontId="8" fillId="0" borderId="63" xfId="0" applyFont="1" applyFill="1" applyBorder="1" applyAlignment="1">
      <alignment horizontal="left" vertical="center" indent="1"/>
    </xf>
    <xf numFmtId="0" fontId="8" fillId="0" borderId="64" xfId="0" applyFont="1" applyFill="1" applyBorder="1" applyAlignment="1">
      <alignment horizontal="left" vertical="center" indent="1"/>
    </xf>
    <xf numFmtId="0" fontId="4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6" fontId="0" fillId="0" borderId="14" xfId="2" applyNumberFormat="1" applyFont="1" applyBorder="1" applyAlignment="1">
      <alignment horizontal="center" vertical="center"/>
    </xf>
    <xf numFmtId="166" fontId="0" fillId="0" borderId="20" xfId="2" applyNumberFormat="1" applyFont="1" applyBorder="1" applyAlignment="1">
      <alignment horizontal="center" vertical="center"/>
    </xf>
    <xf numFmtId="166" fontId="0" fillId="0" borderId="28" xfId="2" applyNumberFormat="1" applyFont="1" applyBorder="1" applyAlignment="1">
      <alignment horizontal="center" vertical="center"/>
    </xf>
    <xf numFmtId="167" fontId="0" fillId="0" borderId="17" xfId="2" applyNumberFormat="1" applyFont="1" applyBorder="1" applyAlignment="1">
      <alignment horizontal="center" vertical="center"/>
    </xf>
    <xf numFmtId="167" fontId="0" fillId="0" borderId="21" xfId="2" applyNumberFormat="1" applyFont="1" applyBorder="1" applyAlignment="1">
      <alignment horizontal="center" vertical="center"/>
    </xf>
    <xf numFmtId="167" fontId="0" fillId="0" borderId="27" xfId="2" applyNumberFormat="1" applyFont="1" applyBorder="1" applyAlignment="1">
      <alignment horizontal="center" vertical="center"/>
    </xf>
  </cellXfs>
  <cellStyles count="4">
    <cellStyle name="Comma [0]" xfId="1" builtinId="6"/>
    <cellStyle name="Normal" xfId="0" builtinId="0"/>
    <cellStyle name="Percent" xfId="2" builtinId="5"/>
    <cellStyle name="쉼표 [0] 2" xfId="3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28137</xdr:colOff>
          <xdr:row>5</xdr:row>
          <xdr:rowOff>21102</xdr:rowOff>
        </xdr:from>
        <xdr:to>
          <xdr:col>3</xdr:col>
          <xdr:colOff>879231</xdr:colOff>
          <xdr:row>5</xdr:row>
          <xdr:rowOff>302455</xdr:rowOff>
        </xdr:to>
        <xdr:sp macro="" textlink="">
          <xdr:nvSpPr>
            <xdr:cNvPr id="1026" name="cboI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14069</xdr:colOff>
          <xdr:row>5</xdr:row>
          <xdr:rowOff>21102</xdr:rowOff>
        </xdr:from>
        <xdr:to>
          <xdr:col>6</xdr:col>
          <xdr:colOff>0</xdr:colOff>
          <xdr:row>5</xdr:row>
          <xdr:rowOff>302455</xdr:rowOff>
        </xdr:to>
        <xdr:sp macro="" textlink="">
          <xdr:nvSpPr>
            <xdr:cNvPr id="1027" name="cbo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K39"/>
  <sheetViews>
    <sheetView showGridLines="0" tabSelected="1" workbookViewId="0">
      <selection activeCell="P15" sqref="P15"/>
    </sheetView>
  </sheetViews>
  <sheetFormatPr defaultRowHeight="14.4"/>
  <cols>
    <col min="1" max="1" width="2.19921875" customWidth="1"/>
    <col min="2" max="2" width="3" customWidth="1"/>
    <col min="3" max="3" width="11.69921875" style="50" customWidth="1"/>
    <col min="4" max="10" width="12.59765625" style="50" customWidth="1"/>
    <col min="11" max="11" width="2.8984375" customWidth="1"/>
  </cols>
  <sheetData>
    <row r="1" spans="2:11" ht="14.95" thickBot="1"/>
    <row r="2" spans="2:11">
      <c r="B2" s="82"/>
      <c r="C2" s="83"/>
      <c r="D2" s="83"/>
      <c r="E2" s="83"/>
      <c r="F2" s="83"/>
      <c r="G2" s="83"/>
      <c r="H2" s="83"/>
      <c r="I2" s="83"/>
      <c r="J2" s="83"/>
      <c r="K2" s="84"/>
    </row>
    <row r="3" spans="2:11" ht="28.8">
      <c r="B3" s="85"/>
      <c r="C3" s="86" t="s">
        <v>208</v>
      </c>
      <c r="D3" s="86"/>
      <c r="E3" s="87"/>
      <c r="F3" s="87"/>
      <c r="G3" s="88"/>
      <c r="H3" s="87"/>
      <c r="I3" s="87"/>
      <c r="J3" s="87"/>
      <c r="K3" s="89"/>
    </row>
    <row r="4" spans="2:11">
      <c r="B4" s="85"/>
      <c r="C4" s="90"/>
      <c r="D4" s="90"/>
      <c r="E4" s="90"/>
      <c r="F4" s="90"/>
      <c r="G4" s="90"/>
      <c r="H4" s="90"/>
      <c r="I4" s="90"/>
      <c r="J4" s="90"/>
      <c r="K4" s="89"/>
    </row>
    <row r="5" spans="2:11" s="52" customFormat="1" ht="18.3" thickBot="1">
      <c r="B5" s="91"/>
      <c r="C5" s="92" t="s">
        <v>221</v>
      </c>
      <c r="D5" s="93"/>
      <c r="E5" s="93"/>
      <c r="F5" s="93"/>
      <c r="G5" s="93"/>
      <c r="H5" s="93"/>
      <c r="I5" s="93"/>
      <c r="J5" s="93"/>
      <c r="K5" s="94"/>
    </row>
    <row r="6" spans="2:11" s="52" customFormat="1" ht="24.8" customHeight="1">
      <c r="B6" s="91"/>
      <c r="C6" s="53" t="s">
        <v>209</v>
      </c>
      <c r="D6" s="99">
        <v>113454</v>
      </c>
      <c r="E6" s="54" t="s">
        <v>210</v>
      </c>
      <c r="F6" s="99" t="str">
        <f>IFERROR(VLOOKUP(D6,사원현황,2,0),"")</f>
        <v>김현기</v>
      </c>
      <c r="G6" s="54" t="s">
        <v>211</v>
      </c>
      <c r="H6" s="68" t="str">
        <f>IFERROR(VLOOKUP(D6,사원현황,3,0),"")</f>
        <v>생산부</v>
      </c>
      <c r="I6" s="54" t="s">
        <v>212</v>
      </c>
      <c r="J6" s="70" t="str">
        <f>IFERROR(VLOOKUP(D6,사원현황,4,0),"")</f>
        <v>부장</v>
      </c>
      <c r="K6" s="94"/>
    </row>
    <row r="7" spans="2:11" s="52" customFormat="1" ht="24.8" customHeight="1" thickBot="1">
      <c r="B7" s="91"/>
      <c r="C7" s="55" t="s">
        <v>214</v>
      </c>
      <c r="D7" s="69">
        <f>IFERROR(VLOOKUP(D6,사원현황,7,0),"")</f>
        <v>3</v>
      </c>
      <c r="E7" s="56" t="s">
        <v>215</v>
      </c>
      <c r="F7" s="69" t="str">
        <f>IFERROR(VLOOKUP(D6,사원현황,8,0),"")</f>
        <v>농협</v>
      </c>
      <c r="G7" s="56" t="s">
        <v>213</v>
      </c>
      <c r="H7" s="103" t="str">
        <f>IFERROR(VLOOKUP(D6,사원현황,9,0),"")</f>
        <v>371-02-040090</v>
      </c>
      <c r="I7" s="103"/>
      <c r="J7" s="104"/>
      <c r="K7" s="94"/>
    </row>
    <row r="8" spans="2:11" s="52" customFormat="1">
      <c r="B8" s="91"/>
      <c r="C8" s="93"/>
      <c r="D8" s="93"/>
      <c r="E8" s="93"/>
      <c r="F8" s="93"/>
      <c r="G8" s="93"/>
      <c r="H8" s="93"/>
      <c r="I8" s="93"/>
      <c r="J8" s="93"/>
      <c r="K8" s="94"/>
    </row>
    <row r="9" spans="2:11" s="52" customFormat="1">
      <c r="B9" s="91"/>
      <c r="C9" s="93"/>
      <c r="D9" s="93"/>
      <c r="E9" s="93"/>
      <c r="F9" s="93"/>
      <c r="G9" s="93"/>
      <c r="H9" s="93"/>
      <c r="I9" s="93"/>
      <c r="J9" s="93"/>
      <c r="K9" s="94"/>
    </row>
    <row r="10" spans="2:11" s="52" customFormat="1" ht="18.3" thickBot="1">
      <c r="B10" s="91"/>
      <c r="C10" s="95" t="s">
        <v>222</v>
      </c>
      <c r="D10" s="93"/>
      <c r="E10" s="93"/>
      <c r="F10" s="93"/>
      <c r="G10" s="93"/>
      <c r="H10" s="93"/>
      <c r="I10" s="93"/>
      <c r="J10" s="93"/>
      <c r="K10" s="94"/>
    </row>
    <row r="11" spans="2:11" s="52" customFormat="1" ht="24.8" customHeight="1" thickBot="1">
      <c r="B11" s="91"/>
      <c r="C11" s="65" t="s">
        <v>179</v>
      </c>
      <c r="D11" s="71">
        <f>D23+F23</f>
        <v>36267670</v>
      </c>
      <c r="E11" s="66" t="s">
        <v>180</v>
      </c>
      <c r="F11" s="71">
        <f>H23+J23</f>
        <v>1252400</v>
      </c>
      <c r="G11" s="66" t="s">
        <v>181</v>
      </c>
      <c r="H11" s="71">
        <f>D11-F11</f>
        <v>35015270</v>
      </c>
      <c r="I11" s="66" t="s">
        <v>182</v>
      </c>
      <c r="J11" s="67" t="str">
        <f>IF(H11=0,"", "4월 10일")</f>
        <v>4월 10일</v>
      </c>
      <c r="K11" s="94"/>
    </row>
    <row r="12" spans="2:11" s="52" customFormat="1">
      <c r="B12" s="91"/>
      <c r="C12" s="93"/>
      <c r="D12" s="93"/>
      <c r="E12" s="93"/>
      <c r="F12" s="93"/>
      <c r="G12" s="93"/>
      <c r="H12" s="93"/>
      <c r="I12" s="93"/>
      <c r="J12" s="93"/>
      <c r="K12" s="94"/>
    </row>
    <row r="13" spans="2:11" s="52" customFormat="1">
      <c r="B13" s="91"/>
      <c r="C13" s="93"/>
      <c r="D13" s="93"/>
      <c r="E13" s="93"/>
      <c r="F13" s="93"/>
      <c r="G13" s="93"/>
      <c r="H13" s="93"/>
      <c r="I13" s="93"/>
      <c r="J13" s="93"/>
      <c r="K13" s="94"/>
    </row>
    <row r="14" spans="2:11" s="52" customFormat="1" ht="14.95" thickBot="1">
      <c r="B14" s="91"/>
      <c r="C14" s="95" t="s">
        <v>223</v>
      </c>
      <c r="D14" s="93"/>
      <c r="E14" s="93"/>
      <c r="F14" s="93"/>
      <c r="G14" s="95" t="s">
        <v>216</v>
      </c>
      <c r="H14" s="93"/>
      <c r="I14" s="93"/>
      <c r="J14" s="93"/>
      <c r="K14" s="94"/>
    </row>
    <row r="15" spans="2:11" s="52" customFormat="1" ht="23.3" customHeight="1">
      <c r="B15" s="91"/>
      <c r="C15" s="100" t="s">
        <v>183</v>
      </c>
      <c r="D15" s="101"/>
      <c r="E15" s="101" t="s">
        <v>184</v>
      </c>
      <c r="F15" s="101"/>
      <c r="G15" s="101" t="s">
        <v>185</v>
      </c>
      <c r="H15" s="101"/>
      <c r="I15" s="101" t="s">
        <v>186</v>
      </c>
      <c r="J15" s="102"/>
      <c r="K15" s="94"/>
    </row>
    <row r="16" spans="2:11" s="52" customFormat="1" ht="23.3" customHeight="1">
      <c r="B16" s="91"/>
      <c r="C16" s="57" t="s">
        <v>187</v>
      </c>
      <c r="D16" s="72">
        <f>IFERROR(INDEX(기본급테이블,VLOOKUP(D6,사원현황,5,0),VLOOKUP(D6,사원현황,6,0)),0)</f>
        <v>35807670</v>
      </c>
      <c r="E16" s="58" t="s">
        <v>188</v>
      </c>
      <c r="F16" s="72">
        <v>0</v>
      </c>
      <c r="G16" s="58" t="s">
        <v>189</v>
      </c>
      <c r="H16" s="72">
        <f>IFERROR(INDEX(간이세액,MATCH(D23,월급여액,1),D7),0)</f>
        <v>259570</v>
      </c>
      <c r="I16" s="58" t="s">
        <v>220</v>
      </c>
      <c r="J16" s="76">
        <f>IF(D16=0,0,10000)</f>
        <v>10000</v>
      </c>
      <c r="K16" s="94"/>
    </row>
    <row r="17" spans="2:11" s="52" customFormat="1" ht="23.3" customHeight="1">
      <c r="B17" s="91"/>
      <c r="C17" s="59" t="s">
        <v>199</v>
      </c>
      <c r="D17" s="73">
        <f>IFERROR(HLOOKUP(J6,수당테이블,2,0),0)</f>
        <v>400000</v>
      </c>
      <c r="E17" s="60" t="s">
        <v>190</v>
      </c>
      <c r="F17" s="73">
        <v>0</v>
      </c>
      <c r="G17" s="60" t="s">
        <v>191</v>
      </c>
      <c r="H17" s="73">
        <f>H16*0.1</f>
        <v>25957</v>
      </c>
      <c r="I17" s="60" t="s">
        <v>192</v>
      </c>
      <c r="J17" s="77">
        <f>IF(D16=0,0,5000)</f>
        <v>5000</v>
      </c>
      <c r="K17" s="94"/>
    </row>
    <row r="18" spans="2:11" s="52" customFormat="1" ht="23.3" customHeight="1">
      <c r="B18" s="91"/>
      <c r="C18" s="59" t="s">
        <v>193</v>
      </c>
      <c r="D18" s="73">
        <v>0</v>
      </c>
      <c r="E18" s="60" t="s">
        <v>194</v>
      </c>
      <c r="F18" s="73">
        <v>0</v>
      </c>
      <c r="G18" s="60" t="s">
        <v>195</v>
      </c>
      <c r="H18" s="73">
        <f>IFERROR(VLOOKUP(D23,건강보험,1,1)*4.31%,0)</f>
        <v>853380</v>
      </c>
      <c r="I18" s="60" t="s">
        <v>186</v>
      </c>
      <c r="J18" s="77">
        <v>0</v>
      </c>
      <c r="K18" s="94"/>
    </row>
    <row r="19" spans="2:11" s="52" customFormat="1" ht="23.3" customHeight="1">
      <c r="B19" s="91"/>
      <c r="C19" s="59" t="s">
        <v>196</v>
      </c>
      <c r="D19" s="73">
        <v>0</v>
      </c>
      <c r="E19" s="60" t="s">
        <v>197</v>
      </c>
      <c r="F19" s="73">
        <v>0</v>
      </c>
      <c r="G19" s="60" t="s">
        <v>198</v>
      </c>
      <c r="H19" s="73">
        <f>IFERROR(VLOOKUP(D23,국민연금,1,1)*5%,0)</f>
        <v>98500</v>
      </c>
      <c r="I19" s="60"/>
      <c r="J19" s="77"/>
      <c r="K19" s="94"/>
    </row>
    <row r="20" spans="2:11" s="52" customFormat="1" ht="23.3" customHeight="1">
      <c r="B20" s="91"/>
      <c r="C20" s="59" t="s">
        <v>218</v>
      </c>
      <c r="D20" s="73">
        <f>IFERROR(D7*20000,0)</f>
        <v>60000</v>
      </c>
      <c r="E20" s="60" t="s">
        <v>200</v>
      </c>
      <c r="F20" s="73">
        <v>0</v>
      </c>
      <c r="G20" s="60" t="s">
        <v>201</v>
      </c>
      <c r="H20" s="73">
        <v>0</v>
      </c>
      <c r="I20" s="60"/>
      <c r="J20" s="77"/>
      <c r="K20" s="94"/>
    </row>
    <row r="21" spans="2:11" s="52" customFormat="1" ht="23.3" customHeight="1">
      <c r="B21" s="91"/>
      <c r="C21" s="59" t="s">
        <v>202</v>
      </c>
      <c r="D21" s="73">
        <v>0</v>
      </c>
      <c r="E21" s="60" t="s">
        <v>203</v>
      </c>
      <c r="F21" s="73">
        <v>0</v>
      </c>
      <c r="G21" s="60"/>
      <c r="H21" s="73"/>
      <c r="I21" s="60"/>
      <c r="J21" s="77"/>
      <c r="K21" s="94"/>
    </row>
    <row r="22" spans="2:11" s="52" customFormat="1" ht="23.3" customHeight="1" thickBot="1">
      <c r="B22" s="91"/>
      <c r="C22" s="61" t="s">
        <v>217</v>
      </c>
      <c r="D22" s="74">
        <v>0</v>
      </c>
      <c r="E22" s="62"/>
      <c r="F22" s="74">
        <v>0</v>
      </c>
      <c r="G22" s="62"/>
      <c r="H22" s="74"/>
      <c r="I22" s="62"/>
      <c r="J22" s="78"/>
      <c r="K22" s="94"/>
    </row>
    <row r="23" spans="2:11" s="52" customFormat="1" ht="23.3" customHeight="1" thickTop="1" thickBot="1">
      <c r="B23" s="91"/>
      <c r="C23" s="63" t="s">
        <v>204</v>
      </c>
      <c r="D23" s="75">
        <f>SUM(D16:D22)</f>
        <v>36267670</v>
      </c>
      <c r="E23" s="64" t="s">
        <v>205</v>
      </c>
      <c r="F23" s="75">
        <f>SUM(F16:F22)</f>
        <v>0</v>
      </c>
      <c r="G23" s="64" t="s">
        <v>206</v>
      </c>
      <c r="H23" s="75">
        <f>ROUNDDOWN(SUM(H16:H22),-1)</f>
        <v>1237400</v>
      </c>
      <c r="I23" s="64" t="s">
        <v>207</v>
      </c>
      <c r="J23" s="79">
        <f>SUM(J16:J22)</f>
        <v>15000</v>
      </c>
      <c r="K23" s="94"/>
    </row>
    <row r="24" spans="2:11" s="52" customFormat="1">
      <c r="B24" s="91"/>
      <c r="C24" s="93"/>
      <c r="D24" s="93"/>
      <c r="E24" s="93"/>
      <c r="F24" s="93"/>
      <c r="G24" s="93"/>
      <c r="H24" s="93"/>
      <c r="I24" s="93"/>
      <c r="J24" s="93"/>
      <c r="K24" s="94"/>
    </row>
    <row r="25" spans="2:11" s="52" customFormat="1">
      <c r="B25" s="91"/>
      <c r="C25" s="93"/>
      <c r="D25" s="93"/>
      <c r="E25" s="93"/>
      <c r="F25" s="93"/>
      <c r="G25" s="93"/>
      <c r="H25" s="93"/>
      <c r="I25" s="93"/>
      <c r="J25" s="93"/>
      <c r="K25" s="94"/>
    </row>
    <row r="26" spans="2:11" s="52" customFormat="1">
      <c r="B26" s="91"/>
      <c r="C26" s="93" t="str">
        <f>F6&amp;"님의 노고에 감사 드립니다."</f>
        <v>김현기님의 노고에 감사 드립니다.</v>
      </c>
      <c r="D26" s="93"/>
      <c r="E26" s="93"/>
      <c r="F26" s="93"/>
      <c r="G26" s="93"/>
      <c r="H26" s="93"/>
      <c r="I26" s="93"/>
      <c r="J26" s="93"/>
      <c r="K26" s="94"/>
    </row>
    <row r="27" spans="2:11" s="52" customFormat="1">
      <c r="B27" s="91"/>
      <c r="C27" s="93"/>
      <c r="D27" s="93"/>
      <c r="E27" s="93"/>
      <c r="F27" s="93"/>
      <c r="G27" s="93"/>
      <c r="H27" s="93"/>
      <c r="I27" s="93"/>
      <c r="J27" s="93"/>
      <c r="K27" s="94"/>
    </row>
    <row r="28" spans="2:11" s="52" customFormat="1" ht="14.95" thickBot="1">
      <c r="B28" s="96"/>
      <c r="C28" s="97"/>
      <c r="D28" s="97"/>
      <c r="E28" s="97"/>
      <c r="F28" s="97"/>
      <c r="G28" s="97"/>
      <c r="H28" s="97"/>
      <c r="I28" s="97"/>
      <c r="J28" s="97"/>
      <c r="K28" s="98"/>
    </row>
    <row r="29" spans="2:11" s="52" customFormat="1">
      <c r="C29" s="51"/>
      <c r="D29" s="51"/>
      <c r="E29" s="51"/>
      <c r="F29" s="51"/>
      <c r="G29" s="51"/>
      <c r="H29" s="51"/>
      <c r="I29" s="51"/>
      <c r="J29" s="51"/>
    </row>
    <row r="30" spans="2:11" s="52" customFormat="1">
      <c r="C30" s="51"/>
      <c r="D30" s="51"/>
      <c r="E30" s="51"/>
      <c r="F30" s="51"/>
      <c r="G30" s="51"/>
      <c r="H30" s="51"/>
      <c r="I30" s="51"/>
      <c r="J30" s="51"/>
    </row>
    <row r="31" spans="2:11" s="52" customFormat="1">
      <c r="C31" s="51"/>
      <c r="D31" s="51"/>
      <c r="E31" s="51"/>
      <c r="F31" s="51"/>
      <c r="G31" s="51"/>
      <c r="H31" s="51"/>
      <c r="I31" s="51"/>
      <c r="J31" s="51"/>
    </row>
    <row r="32" spans="2:11" s="52" customFormat="1">
      <c r="C32" s="51"/>
      <c r="D32" s="51"/>
      <c r="E32" s="51"/>
      <c r="F32" s="51"/>
      <c r="G32" s="51"/>
      <c r="H32" s="51"/>
      <c r="I32" s="51"/>
      <c r="J32" s="51"/>
    </row>
    <row r="33" spans="3:10" s="52" customFormat="1">
      <c r="C33" s="51"/>
      <c r="D33" s="51"/>
      <c r="E33" s="51"/>
      <c r="F33" s="51"/>
      <c r="G33" s="51"/>
      <c r="H33" s="51"/>
      <c r="I33" s="51"/>
      <c r="J33" s="51"/>
    </row>
    <row r="34" spans="3:10" s="52" customFormat="1">
      <c r="C34" s="51"/>
      <c r="D34" s="51"/>
      <c r="E34" s="51"/>
      <c r="F34" s="51"/>
      <c r="G34" s="51"/>
      <c r="H34" s="51"/>
      <c r="I34" s="51"/>
      <c r="J34" s="51"/>
    </row>
    <row r="35" spans="3:10" s="52" customFormat="1">
      <c r="C35" s="51"/>
      <c r="D35" s="51"/>
      <c r="E35" s="51"/>
      <c r="F35" s="51"/>
      <c r="G35" s="51"/>
      <c r="H35" s="51"/>
      <c r="I35" s="51"/>
      <c r="J35" s="51"/>
    </row>
    <row r="36" spans="3:10" s="52" customFormat="1">
      <c r="C36" s="51"/>
      <c r="D36" s="51"/>
      <c r="E36" s="51"/>
      <c r="F36" s="51"/>
      <c r="G36" s="51"/>
      <c r="H36" s="51"/>
      <c r="I36" s="51"/>
      <c r="J36" s="51"/>
    </row>
    <row r="37" spans="3:10" s="52" customFormat="1">
      <c r="C37" s="51"/>
      <c r="D37" s="51"/>
      <c r="E37" s="51"/>
      <c r="F37" s="51"/>
      <c r="G37" s="51"/>
      <c r="H37" s="51"/>
      <c r="I37" s="51"/>
      <c r="J37" s="51"/>
    </row>
    <row r="38" spans="3:10" s="52" customFormat="1">
      <c r="C38" s="51"/>
      <c r="D38" s="51"/>
      <c r="E38" s="51"/>
      <c r="F38" s="51"/>
      <c r="G38" s="51"/>
      <c r="H38" s="51"/>
      <c r="I38" s="51"/>
      <c r="J38" s="51"/>
    </row>
    <row r="39" spans="3:10" s="52" customFormat="1">
      <c r="C39" s="51"/>
      <c r="D39" s="51"/>
      <c r="E39" s="51"/>
      <c r="F39" s="51"/>
      <c r="G39" s="51"/>
      <c r="H39" s="51"/>
      <c r="I39" s="51"/>
      <c r="J39" s="51"/>
    </row>
  </sheetData>
  <mergeCells count="5">
    <mergeCell ref="C15:D15"/>
    <mergeCell ref="E15:F15"/>
    <mergeCell ref="G15:H15"/>
    <mergeCell ref="I15:J15"/>
    <mergeCell ref="H7:J7"/>
  </mergeCells>
  <phoneticPr fontId="3" type="noConversion"/>
  <pageMargins left="0.7" right="0.7" top="0.75" bottom="0.75" header="0.3" footer="0.3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boName">
          <controlPr defaultSize="0" autoLine="0" listFillRange="Name" r:id="rId5">
            <anchor moveWithCells="1">
              <from>
                <xdr:col>5</xdr:col>
                <xdr:colOff>14068</xdr:colOff>
                <xdr:row>5</xdr:row>
                <xdr:rowOff>21102</xdr:rowOff>
              </from>
              <to>
                <xdr:col>6</xdr:col>
                <xdr:colOff>0</xdr:colOff>
                <xdr:row>5</xdr:row>
                <xdr:rowOff>302455</xdr:rowOff>
              </to>
            </anchor>
          </controlPr>
        </control>
      </mc:Choice>
      <mc:Fallback>
        <control shapeId="1027" r:id="rId4" name="cboName"/>
      </mc:Fallback>
    </mc:AlternateContent>
    <mc:AlternateContent xmlns:mc="http://schemas.openxmlformats.org/markup-compatibility/2006">
      <mc:Choice Requires="x14">
        <control shapeId="1026" r:id="rId6" name="cboID">
          <controlPr defaultSize="0" autoLine="0" listFillRange="ID" r:id="rId7">
            <anchor moveWithCells="1">
              <from>
                <xdr:col>3</xdr:col>
                <xdr:colOff>28135</xdr:colOff>
                <xdr:row>5</xdr:row>
                <xdr:rowOff>21102</xdr:rowOff>
              </from>
              <to>
                <xdr:col>3</xdr:col>
                <xdr:colOff>879231</xdr:colOff>
                <xdr:row>5</xdr:row>
                <xdr:rowOff>302455</xdr:rowOff>
              </to>
            </anchor>
          </controlPr>
        </control>
      </mc:Choice>
      <mc:Fallback>
        <control shapeId="1026" r:id="rId6" name="cbo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사원현황!$A$2:$A$60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0"/>
  <sheetViews>
    <sheetView showGridLines="0" workbookViewId="0">
      <selection activeCell="B1" sqref="B1:H11"/>
    </sheetView>
  </sheetViews>
  <sheetFormatPr defaultColWidth="9" defaultRowHeight="14.4"/>
  <cols>
    <col min="1" max="2" width="11" style="1" customWidth="1"/>
    <col min="3" max="3" width="14" style="1" customWidth="1"/>
    <col min="4" max="6" width="9.09765625" style="1" customWidth="1"/>
    <col min="7" max="8" width="11" style="1" customWidth="1"/>
    <col min="9" max="9" width="22.69921875" style="1" customWidth="1"/>
    <col min="10" max="16384" width="9" style="1"/>
  </cols>
  <sheetData>
    <row r="1" spans="1:9" ht="23.95" customHeight="1">
      <c r="A1" s="46" t="s">
        <v>224</v>
      </c>
      <c r="B1" s="47" t="s">
        <v>225</v>
      </c>
      <c r="C1" s="47" t="s">
        <v>0</v>
      </c>
      <c r="D1" s="47" t="s">
        <v>1</v>
      </c>
      <c r="E1" s="47" t="s">
        <v>2</v>
      </c>
      <c r="F1" s="47" t="s">
        <v>3</v>
      </c>
      <c r="G1" s="47" t="s">
        <v>214</v>
      </c>
      <c r="H1" s="47" t="s">
        <v>215</v>
      </c>
      <c r="I1" s="48" t="s">
        <v>4</v>
      </c>
    </row>
    <row r="2" spans="1:9">
      <c r="A2" s="42">
        <v>214324</v>
      </c>
      <c r="B2" s="43" t="s">
        <v>5</v>
      </c>
      <c r="C2" s="43" t="s">
        <v>6</v>
      </c>
      <c r="D2" s="43" t="s">
        <v>7</v>
      </c>
      <c r="E2" s="44">
        <v>6</v>
      </c>
      <c r="F2" s="44">
        <v>2</v>
      </c>
      <c r="G2" s="44">
        <v>3</v>
      </c>
      <c r="H2" s="44" t="s">
        <v>104</v>
      </c>
      <c r="I2" s="45" t="s">
        <v>105</v>
      </c>
    </row>
    <row r="3" spans="1:9">
      <c r="A3" s="34">
        <v>140993</v>
      </c>
      <c r="B3" s="35" t="s">
        <v>8</v>
      </c>
      <c r="C3" s="35" t="s">
        <v>9</v>
      </c>
      <c r="D3" s="35" t="s">
        <v>10</v>
      </c>
      <c r="E3" s="36">
        <v>2</v>
      </c>
      <c r="F3" s="36">
        <v>5</v>
      </c>
      <c r="G3" s="36">
        <v>1</v>
      </c>
      <c r="H3" s="36" t="s">
        <v>106</v>
      </c>
      <c r="I3" s="37" t="s">
        <v>107</v>
      </c>
    </row>
    <row r="4" spans="1:9">
      <c r="A4" s="34">
        <v>243940</v>
      </c>
      <c r="B4" s="35" t="s">
        <v>11</v>
      </c>
      <c r="C4" s="35" t="s">
        <v>12</v>
      </c>
      <c r="D4" s="35" t="s">
        <v>7</v>
      </c>
      <c r="E4" s="36">
        <v>6</v>
      </c>
      <c r="F4" s="36">
        <v>2</v>
      </c>
      <c r="G4" s="36">
        <v>3</v>
      </c>
      <c r="H4" s="36" t="s">
        <v>108</v>
      </c>
      <c r="I4" s="37" t="s">
        <v>109</v>
      </c>
    </row>
    <row r="5" spans="1:9">
      <c r="A5" s="34">
        <v>216360</v>
      </c>
      <c r="B5" s="35" t="s">
        <v>13</v>
      </c>
      <c r="C5" s="35" t="s">
        <v>9</v>
      </c>
      <c r="D5" s="35" t="s">
        <v>14</v>
      </c>
      <c r="E5" s="36">
        <v>4</v>
      </c>
      <c r="F5" s="36">
        <v>3</v>
      </c>
      <c r="G5" s="36">
        <v>2</v>
      </c>
      <c r="H5" s="36" t="s">
        <v>110</v>
      </c>
      <c r="I5" s="37" t="s">
        <v>111</v>
      </c>
    </row>
    <row r="6" spans="1:9">
      <c r="A6" s="34">
        <v>213599</v>
      </c>
      <c r="B6" s="35" t="s">
        <v>15</v>
      </c>
      <c r="C6" s="35" t="s">
        <v>16</v>
      </c>
      <c r="D6" s="35" t="s">
        <v>14</v>
      </c>
      <c r="E6" s="36">
        <v>4</v>
      </c>
      <c r="F6" s="36">
        <v>3</v>
      </c>
      <c r="G6" s="36">
        <v>1</v>
      </c>
      <c r="H6" s="36" t="s">
        <v>112</v>
      </c>
      <c r="I6" s="37" t="s">
        <v>113</v>
      </c>
    </row>
    <row r="7" spans="1:9">
      <c r="A7" s="34">
        <v>116612</v>
      </c>
      <c r="B7" s="35" t="s">
        <v>17</v>
      </c>
      <c r="C7" s="35" t="s">
        <v>18</v>
      </c>
      <c r="D7" s="35" t="s">
        <v>19</v>
      </c>
      <c r="E7" s="36">
        <v>3</v>
      </c>
      <c r="F7" s="36">
        <v>4</v>
      </c>
      <c r="G7" s="36">
        <v>3</v>
      </c>
      <c r="H7" s="36" t="s">
        <v>114</v>
      </c>
      <c r="I7" s="37" t="s">
        <v>115</v>
      </c>
    </row>
    <row r="8" spans="1:9">
      <c r="A8" s="34">
        <v>215469</v>
      </c>
      <c r="B8" s="35" t="s">
        <v>20</v>
      </c>
      <c r="C8" s="35" t="s">
        <v>21</v>
      </c>
      <c r="D8" s="35" t="s">
        <v>14</v>
      </c>
      <c r="E8" s="36">
        <v>4</v>
      </c>
      <c r="F8" s="36">
        <v>3</v>
      </c>
      <c r="G8" s="36">
        <v>1</v>
      </c>
      <c r="H8" s="36" t="s">
        <v>116</v>
      </c>
      <c r="I8" s="37" t="s">
        <v>117</v>
      </c>
    </row>
    <row r="9" spans="1:9">
      <c r="A9" s="34">
        <v>116976</v>
      </c>
      <c r="B9" s="35" t="s">
        <v>22</v>
      </c>
      <c r="C9" s="35" t="s">
        <v>9</v>
      </c>
      <c r="D9" s="35" t="s">
        <v>23</v>
      </c>
      <c r="E9" s="36">
        <v>1</v>
      </c>
      <c r="F9" s="36">
        <v>6</v>
      </c>
      <c r="G9" s="36">
        <v>3</v>
      </c>
      <c r="H9" s="36" t="s">
        <v>118</v>
      </c>
      <c r="I9" s="37" t="s">
        <v>119</v>
      </c>
    </row>
    <row r="10" spans="1:9">
      <c r="A10" s="34">
        <v>130211</v>
      </c>
      <c r="B10" s="35" t="s">
        <v>24</v>
      </c>
      <c r="C10" s="35" t="s">
        <v>25</v>
      </c>
      <c r="D10" s="35" t="s">
        <v>23</v>
      </c>
      <c r="E10" s="36">
        <v>1</v>
      </c>
      <c r="F10" s="36">
        <v>6</v>
      </c>
      <c r="G10" s="36">
        <v>1</v>
      </c>
      <c r="H10" s="36" t="s">
        <v>112</v>
      </c>
      <c r="I10" s="37" t="s">
        <v>120</v>
      </c>
    </row>
    <row r="11" spans="1:9">
      <c r="A11" s="34">
        <v>140936</v>
      </c>
      <c r="B11" s="35" t="s">
        <v>26</v>
      </c>
      <c r="C11" s="35" t="s">
        <v>6</v>
      </c>
      <c r="D11" s="35" t="s">
        <v>19</v>
      </c>
      <c r="E11" s="36">
        <v>3</v>
      </c>
      <c r="F11" s="36">
        <v>4</v>
      </c>
      <c r="G11" s="36">
        <v>3</v>
      </c>
      <c r="H11" s="36" t="s">
        <v>112</v>
      </c>
      <c r="I11" s="37" t="s">
        <v>121</v>
      </c>
    </row>
    <row r="12" spans="1:9">
      <c r="A12" s="34">
        <v>139171</v>
      </c>
      <c r="B12" s="35" t="s">
        <v>27</v>
      </c>
      <c r="C12" s="35" t="s">
        <v>16</v>
      </c>
      <c r="D12" s="35" t="s">
        <v>19</v>
      </c>
      <c r="E12" s="36">
        <v>3</v>
      </c>
      <c r="F12" s="36">
        <v>4</v>
      </c>
      <c r="G12" s="36">
        <v>2</v>
      </c>
      <c r="H12" s="36" t="s">
        <v>106</v>
      </c>
      <c r="I12" s="37" t="s">
        <v>122</v>
      </c>
    </row>
    <row r="13" spans="1:9">
      <c r="A13" s="34">
        <v>218016</v>
      </c>
      <c r="B13" s="35" t="s">
        <v>28</v>
      </c>
      <c r="C13" s="35" t="s">
        <v>6</v>
      </c>
      <c r="D13" s="35" t="s">
        <v>14</v>
      </c>
      <c r="E13" s="36">
        <v>4</v>
      </c>
      <c r="F13" s="36">
        <v>3</v>
      </c>
      <c r="G13" s="36">
        <v>1</v>
      </c>
      <c r="H13" s="36" t="s">
        <v>114</v>
      </c>
      <c r="I13" s="37" t="s">
        <v>123</v>
      </c>
    </row>
    <row r="14" spans="1:9">
      <c r="A14" s="34">
        <v>213966</v>
      </c>
      <c r="B14" s="35" t="s">
        <v>29</v>
      </c>
      <c r="C14" s="35" t="s">
        <v>6</v>
      </c>
      <c r="D14" s="35" t="s">
        <v>14</v>
      </c>
      <c r="E14" s="36">
        <v>4</v>
      </c>
      <c r="F14" s="36">
        <v>3</v>
      </c>
      <c r="G14" s="36">
        <v>2</v>
      </c>
      <c r="H14" s="36" t="s">
        <v>104</v>
      </c>
      <c r="I14" s="37" t="s">
        <v>124</v>
      </c>
    </row>
    <row r="15" spans="1:9">
      <c r="A15" s="34">
        <v>258449</v>
      </c>
      <c r="B15" s="35" t="s">
        <v>30</v>
      </c>
      <c r="C15" s="35" t="s">
        <v>31</v>
      </c>
      <c r="D15" s="35" t="s">
        <v>7</v>
      </c>
      <c r="E15" s="36">
        <v>6</v>
      </c>
      <c r="F15" s="36">
        <v>2</v>
      </c>
      <c r="G15" s="36">
        <v>2</v>
      </c>
      <c r="H15" s="36" t="s">
        <v>106</v>
      </c>
      <c r="I15" s="37" t="s">
        <v>125</v>
      </c>
    </row>
    <row r="16" spans="1:9">
      <c r="A16" s="34">
        <v>109630</v>
      </c>
      <c r="B16" s="35" t="s">
        <v>32</v>
      </c>
      <c r="C16" s="35" t="s">
        <v>18</v>
      </c>
      <c r="D16" s="35" t="s">
        <v>19</v>
      </c>
      <c r="E16" s="36">
        <v>3</v>
      </c>
      <c r="F16" s="36">
        <v>4</v>
      </c>
      <c r="G16" s="36">
        <v>2</v>
      </c>
      <c r="H16" s="36" t="s">
        <v>110</v>
      </c>
      <c r="I16" s="37" t="s">
        <v>126</v>
      </c>
    </row>
    <row r="17" spans="1:9">
      <c r="A17" s="34">
        <v>115975</v>
      </c>
      <c r="B17" s="35" t="s">
        <v>33</v>
      </c>
      <c r="C17" s="35" t="s">
        <v>18</v>
      </c>
      <c r="D17" s="35" t="s">
        <v>19</v>
      </c>
      <c r="E17" s="36">
        <v>3</v>
      </c>
      <c r="F17" s="36">
        <v>4</v>
      </c>
      <c r="G17" s="36">
        <v>2</v>
      </c>
      <c r="H17" s="36" t="s">
        <v>114</v>
      </c>
      <c r="I17" s="37" t="s">
        <v>127</v>
      </c>
    </row>
    <row r="18" spans="1:9">
      <c r="A18" s="34">
        <v>113454</v>
      </c>
      <c r="B18" s="35" t="s">
        <v>34</v>
      </c>
      <c r="C18" s="35" t="s">
        <v>18</v>
      </c>
      <c r="D18" s="35" t="s">
        <v>23</v>
      </c>
      <c r="E18" s="36">
        <v>1</v>
      </c>
      <c r="F18" s="36">
        <v>4</v>
      </c>
      <c r="G18" s="36">
        <v>3</v>
      </c>
      <c r="H18" s="36" t="s">
        <v>110</v>
      </c>
      <c r="I18" s="37" t="s">
        <v>128</v>
      </c>
    </row>
    <row r="19" spans="1:9">
      <c r="A19" s="34">
        <v>117034</v>
      </c>
      <c r="B19" s="35" t="s">
        <v>35</v>
      </c>
      <c r="C19" s="35" t="s">
        <v>18</v>
      </c>
      <c r="D19" s="35" t="s">
        <v>10</v>
      </c>
      <c r="E19" s="36">
        <v>2</v>
      </c>
      <c r="F19" s="36">
        <v>5</v>
      </c>
      <c r="G19" s="36">
        <v>3</v>
      </c>
      <c r="H19" s="36" t="s">
        <v>108</v>
      </c>
      <c r="I19" s="37" t="s">
        <v>129</v>
      </c>
    </row>
    <row r="20" spans="1:9">
      <c r="A20" s="34">
        <v>135652</v>
      </c>
      <c r="B20" s="35" t="s">
        <v>36</v>
      </c>
      <c r="C20" s="35" t="s">
        <v>18</v>
      </c>
      <c r="D20" s="35" t="s">
        <v>23</v>
      </c>
      <c r="E20" s="36">
        <v>1</v>
      </c>
      <c r="F20" s="36">
        <v>6</v>
      </c>
      <c r="G20" s="36">
        <v>1</v>
      </c>
      <c r="H20" s="36" t="s">
        <v>108</v>
      </c>
      <c r="I20" s="37" t="s">
        <v>130</v>
      </c>
    </row>
    <row r="21" spans="1:9">
      <c r="A21" s="34">
        <v>125863</v>
      </c>
      <c r="B21" s="35" t="s">
        <v>37</v>
      </c>
      <c r="C21" s="35" t="s">
        <v>6</v>
      </c>
      <c r="D21" s="35" t="s">
        <v>10</v>
      </c>
      <c r="E21" s="36">
        <v>2</v>
      </c>
      <c r="F21" s="36">
        <v>5</v>
      </c>
      <c r="G21" s="36">
        <v>1</v>
      </c>
      <c r="H21" s="36" t="s">
        <v>112</v>
      </c>
      <c r="I21" s="37" t="s">
        <v>131</v>
      </c>
    </row>
    <row r="22" spans="1:9">
      <c r="A22" s="34">
        <v>211794</v>
      </c>
      <c r="B22" s="35" t="s">
        <v>38</v>
      </c>
      <c r="C22" s="35" t="s">
        <v>18</v>
      </c>
      <c r="D22" s="35" t="s">
        <v>14</v>
      </c>
      <c r="E22" s="36">
        <v>4</v>
      </c>
      <c r="F22" s="36">
        <v>3</v>
      </c>
      <c r="G22" s="36">
        <v>3</v>
      </c>
      <c r="H22" s="36" t="s">
        <v>112</v>
      </c>
      <c r="I22" s="37" t="s">
        <v>132</v>
      </c>
    </row>
    <row r="23" spans="1:9">
      <c r="A23" s="34">
        <v>114328</v>
      </c>
      <c r="B23" s="35" t="s">
        <v>39</v>
      </c>
      <c r="C23" s="35" t="s">
        <v>31</v>
      </c>
      <c r="D23" s="35" t="s">
        <v>23</v>
      </c>
      <c r="E23" s="36">
        <v>1</v>
      </c>
      <c r="F23" s="36">
        <v>6</v>
      </c>
      <c r="G23" s="36">
        <v>2</v>
      </c>
      <c r="H23" s="36" t="s">
        <v>112</v>
      </c>
      <c r="I23" s="37" t="s">
        <v>133</v>
      </c>
    </row>
    <row r="24" spans="1:9">
      <c r="A24" s="34">
        <v>115145</v>
      </c>
      <c r="B24" s="35" t="s">
        <v>40</v>
      </c>
      <c r="C24" s="35" t="s">
        <v>18</v>
      </c>
      <c r="D24" s="35" t="s">
        <v>19</v>
      </c>
      <c r="E24" s="36">
        <v>3</v>
      </c>
      <c r="F24" s="36">
        <v>5</v>
      </c>
      <c r="G24" s="36">
        <v>1</v>
      </c>
      <c r="H24" s="36" t="s">
        <v>110</v>
      </c>
      <c r="I24" s="37" t="s">
        <v>134</v>
      </c>
    </row>
    <row r="25" spans="1:9">
      <c r="A25" s="34">
        <v>136035</v>
      </c>
      <c r="B25" s="35" t="s">
        <v>41</v>
      </c>
      <c r="C25" s="35" t="s">
        <v>6</v>
      </c>
      <c r="D25" s="35" t="s">
        <v>19</v>
      </c>
      <c r="E25" s="36">
        <v>3</v>
      </c>
      <c r="F25" s="36">
        <v>4</v>
      </c>
      <c r="G25" s="36">
        <v>1</v>
      </c>
      <c r="H25" s="36" t="s">
        <v>106</v>
      </c>
      <c r="I25" s="37" t="s">
        <v>135</v>
      </c>
    </row>
    <row r="26" spans="1:9">
      <c r="A26" s="34">
        <v>132328</v>
      </c>
      <c r="B26" s="35" t="s">
        <v>42</v>
      </c>
      <c r="C26" s="35" t="s">
        <v>18</v>
      </c>
      <c r="D26" s="35" t="s">
        <v>19</v>
      </c>
      <c r="E26" s="36">
        <v>3</v>
      </c>
      <c r="F26" s="36">
        <v>4</v>
      </c>
      <c r="G26" s="36">
        <v>1</v>
      </c>
      <c r="H26" s="36" t="s">
        <v>112</v>
      </c>
      <c r="I26" s="37" t="s">
        <v>136</v>
      </c>
    </row>
    <row r="27" spans="1:9">
      <c r="A27" s="34">
        <v>130574</v>
      </c>
      <c r="B27" s="35" t="s">
        <v>43</v>
      </c>
      <c r="C27" s="35" t="s">
        <v>6</v>
      </c>
      <c r="D27" s="35" t="s">
        <v>23</v>
      </c>
      <c r="E27" s="36">
        <v>1</v>
      </c>
      <c r="F27" s="36">
        <v>6</v>
      </c>
      <c r="G27" s="36">
        <v>1</v>
      </c>
      <c r="H27" s="36" t="s">
        <v>110</v>
      </c>
      <c r="I27" s="37" t="s">
        <v>137</v>
      </c>
    </row>
    <row r="28" spans="1:9">
      <c r="A28" s="34">
        <v>105257</v>
      </c>
      <c r="B28" s="35" t="s">
        <v>44</v>
      </c>
      <c r="C28" s="35" t="s">
        <v>18</v>
      </c>
      <c r="D28" s="35" t="s">
        <v>19</v>
      </c>
      <c r="E28" s="36">
        <v>3</v>
      </c>
      <c r="F28" s="36">
        <v>4</v>
      </c>
      <c r="G28" s="36">
        <v>1</v>
      </c>
      <c r="H28" s="36" t="s">
        <v>106</v>
      </c>
      <c r="I28" s="37" t="s">
        <v>138</v>
      </c>
    </row>
    <row r="29" spans="1:9">
      <c r="A29" s="34">
        <v>130713</v>
      </c>
      <c r="B29" s="35" t="s">
        <v>45</v>
      </c>
      <c r="C29" s="35" t="s">
        <v>9</v>
      </c>
      <c r="D29" s="35" t="s">
        <v>19</v>
      </c>
      <c r="E29" s="36">
        <v>3</v>
      </c>
      <c r="F29" s="36">
        <v>4</v>
      </c>
      <c r="G29" s="36">
        <v>1</v>
      </c>
      <c r="H29" s="36" t="s">
        <v>110</v>
      </c>
      <c r="I29" s="37" t="s">
        <v>139</v>
      </c>
    </row>
    <row r="30" spans="1:9">
      <c r="A30" s="34">
        <v>217987</v>
      </c>
      <c r="B30" s="35" t="s">
        <v>46</v>
      </c>
      <c r="C30" s="35" t="s">
        <v>6</v>
      </c>
      <c r="D30" s="35" t="s">
        <v>14</v>
      </c>
      <c r="E30" s="36">
        <v>4</v>
      </c>
      <c r="F30" s="36">
        <v>3</v>
      </c>
      <c r="G30" s="36">
        <v>1</v>
      </c>
      <c r="H30" s="36" t="s">
        <v>110</v>
      </c>
      <c r="I30" s="37" t="s">
        <v>140</v>
      </c>
    </row>
    <row r="31" spans="1:9">
      <c r="A31" s="34">
        <v>211279</v>
      </c>
      <c r="B31" s="35" t="s">
        <v>47</v>
      </c>
      <c r="C31" s="35" t="s">
        <v>18</v>
      </c>
      <c r="D31" s="35" t="s">
        <v>14</v>
      </c>
      <c r="E31" s="36">
        <v>4</v>
      </c>
      <c r="F31" s="36">
        <v>3</v>
      </c>
      <c r="G31" s="36">
        <v>3</v>
      </c>
      <c r="H31" s="36" t="s">
        <v>110</v>
      </c>
      <c r="I31" s="37" t="s">
        <v>141</v>
      </c>
    </row>
    <row r="32" spans="1:9">
      <c r="A32" s="34">
        <v>218399</v>
      </c>
      <c r="B32" s="35" t="s">
        <v>48</v>
      </c>
      <c r="C32" s="35" t="s">
        <v>6</v>
      </c>
      <c r="D32" s="35" t="s">
        <v>7</v>
      </c>
      <c r="E32" s="36">
        <v>6</v>
      </c>
      <c r="F32" s="36">
        <v>2</v>
      </c>
      <c r="G32" s="36">
        <v>1</v>
      </c>
      <c r="H32" s="36" t="s">
        <v>106</v>
      </c>
      <c r="I32" s="37" t="s">
        <v>142</v>
      </c>
    </row>
    <row r="33" spans="1:9">
      <c r="A33" s="34">
        <v>233927</v>
      </c>
      <c r="B33" s="35" t="s">
        <v>49</v>
      </c>
      <c r="C33" s="35" t="s">
        <v>18</v>
      </c>
      <c r="D33" s="35" t="s">
        <v>7</v>
      </c>
      <c r="E33" s="36">
        <v>5</v>
      </c>
      <c r="F33" s="36">
        <v>2</v>
      </c>
      <c r="G33" s="36">
        <v>1</v>
      </c>
      <c r="H33" s="36" t="s">
        <v>110</v>
      </c>
      <c r="I33" s="37" t="s">
        <v>143</v>
      </c>
    </row>
    <row r="34" spans="1:9">
      <c r="A34" s="34">
        <v>114262</v>
      </c>
      <c r="B34" s="35" t="s">
        <v>50</v>
      </c>
      <c r="C34" s="35" t="s">
        <v>18</v>
      </c>
      <c r="D34" s="35" t="s">
        <v>10</v>
      </c>
      <c r="E34" s="36">
        <v>2</v>
      </c>
      <c r="F34" s="36">
        <v>5</v>
      </c>
      <c r="G34" s="36">
        <v>1</v>
      </c>
      <c r="H34" s="36" t="s">
        <v>110</v>
      </c>
      <c r="I34" s="37" t="s">
        <v>144</v>
      </c>
    </row>
    <row r="35" spans="1:9">
      <c r="A35" s="34">
        <v>213938</v>
      </c>
      <c r="B35" s="35" t="s">
        <v>51</v>
      </c>
      <c r="C35" s="35" t="s">
        <v>18</v>
      </c>
      <c r="D35" s="35" t="s">
        <v>14</v>
      </c>
      <c r="E35" s="36">
        <v>4</v>
      </c>
      <c r="F35" s="36">
        <v>3</v>
      </c>
      <c r="G35" s="36">
        <v>2</v>
      </c>
      <c r="H35" s="36" t="s">
        <v>110</v>
      </c>
      <c r="I35" s="37" t="s">
        <v>145</v>
      </c>
    </row>
    <row r="36" spans="1:9">
      <c r="A36" s="34">
        <v>115496</v>
      </c>
      <c r="B36" s="35" t="s">
        <v>52</v>
      </c>
      <c r="C36" s="35" t="s">
        <v>25</v>
      </c>
      <c r="D36" s="35" t="s">
        <v>19</v>
      </c>
      <c r="E36" s="36">
        <v>3</v>
      </c>
      <c r="F36" s="36">
        <v>4</v>
      </c>
      <c r="G36" s="36">
        <v>2</v>
      </c>
      <c r="H36" s="36" t="s">
        <v>110</v>
      </c>
      <c r="I36" s="37" t="s">
        <v>146</v>
      </c>
    </row>
    <row r="37" spans="1:9">
      <c r="A37" s="34">
        <v>236887</v>
      </c>
      <c r="B37" s="35" t="s">
        <v>53</v>
      </c>
      <c r="C37" s="35" t="s">
        <v>25</v>
      </c>
      <c r="D37" s="35" t="s">
        <v>7</v>
      </c>
      <c r="E37" s="36">
        <v>5</v>
      </c>
      <c r="F37" s="36">
        <v>2</v>
      </c>
      <c r="G37" s="36">
        <v>3</v>
      </c>
      <c r="H37" s="36" t="s">
        <v>112</v>
      </c>
      <c r="I37" s="37" t="s">
        <v>147</v>
      </c>
    </row>
    <row r="38" spans="1:9">
      <c r="A38" s="34">
        <v>141555</v>
      </c>
      <c r="B38" s="35" t="s">
        <v>54</v>
      </c>
      <c r="C38" s="35" t="s">
        <v>6</v>
      </c>
      <c r="D38" s="35" t="s">
        <v>19</v>
      </c>
      <c r="E38" s="36">
        <v>3</v>
      </c>
      <c r="F38" s="36">
        <v>4</v>
      </c>
      <c r="G38" s="36">
        <v>3</v>
      </c>
      <c r="H38" s="36" t="s">
        <v>106</v>
      </c>
      <c r="I38" s="37" t="s">
        <v>148</v>
      </c>
    </row>
    <row r="39" spans="1:9">
      <c r="A39" s="34">
        <v>134182</v>
      </c>
      <c r="B39" s="35" t="s">
        <v>55</v>
      </c>
      <c r="C39" s="35" t="s">
        <v>56</v>
      </c>
      <c r="D39" s="35" t="s">
        <v>19</v>
      </c>
      <c r="E39" s="36">
        <v>3</v>
      </c>
      <c r="F39" s="36">
        <v>4</v>
      </c>
      <c r="G39" s="36">
        <v>1</v>
      </c>
      <c r="H39" s="36" t="s">
        <v>114</v>
      </c>
      <c r="I39" s="37" t="s">
        <v>149</v>
      </c>
    </row>
    <row r="40" spans="1:9">
      <c r="A40" s="34">
        <v>109597</v>
      </c>
      <c r="B40" s="35" t="s">
        <v>57</v>
      </c>
      <c r="C40" s="35" t="s">
        <v>18</v>
      </c>
      <c r="D40" s="35" t="s">
        <v>19</v>
      </c>
      <c r="E40" s="36">
        <v>3</v>
      </c>
      <c r="F40" s="36">
        <v>4</v>
      </c>
      <c r="G40" s="36">
        <v>2</v>
      </c>
      <c r="H40" s="36" t="s">
        <v>150</v>
      </c>
      <c r="I40" s="37" t="s">
        <v>151</v>
      </c>
    </row>
    <row r="41" spans="1:9">
      <c r="A41" s="34">
        <v>217807</v>
      </c>
      <c r="B41" s="35" t="s">
        <v>58</v>
      </c>
      <c r="C41" s="35" t="s">
        <v>6</v>
      </c>
      <c r="D41" s="35" t="s">
        <v>14</v>
      </c>
      <c r="E41" s="36">
        <v>4</v>
      </c>
      <c r="F41" s="36">
        <v>3</v>
      </c>
      <c r="G41" s="36">
        <v>2</v>
      </c>
      <c r="H41" s="36" t="s">
        <v>152</v>
      </c>
      <c r="I41" s="37" t="s">
        <v>153</v>
      </c>
    </row>
    <row r="42" spans="1:9">
      <c r="A42" s="34">
        <v>215640</v>
      </c>
      <c r="B42" s="35" t="s">
        <v>59</v>
      </c>
      <c r="C42" s="35" t="s">
        <v>6</v>
      </c>
      <c r="D42" s="35" t="s">
        <v>14</v>
      </c>
      <c r="E42" s="36">
        <v>4</v>
      </c>
      <c r="F42" s="36">
        <v>3</v>
      </c>
      <c r="G42" s="36">
        <v>3</v>
      </c>
      <c r="H42" s="36" t="s">
        <v>110</v>
      </c>
      <c r="I42" s="37" t="s">
        <v>154</v>
      </c>
    </row>
    <row r="43" spans="1:9">
      <c r="A43" s="34">
        <v>215406</v>
      </c>
      <c r="B43" s="35" t="s">
        <v>60</v>
      </c>
      <c r="C43" s="35" t="s">
        <v>18</v>
      </c>
      <c r="D43" s="35" t="s">
        <v>14</v>
      </c>
      <c r="E43" s="36">
        <v>4</v>
      </c>
      <c r="F43" s="36">
        <v>3</v>
      </c>
      <c r="G43" s="36">
        <v>1</v>
      </c>
      <c r="H43" s="36" t="s">
        <v>114</v>
      </c>
      <c r="I43" s="37" t="s">
        <v>155</v>
      </c>
    </row>
    <row r="44" spans="1:9">
      <c r="A44" s="34">
        <v>109248</v>
      </c>
      <c r="B44" s="35" t="s">
        <v>61</v>
      </c>
      <c r="C44" s="35" t="s">
        <v>18</v>
      </c>
      <c r="D44" s="35" t="s">
        <v>10</v>
      </c>
      <c r="E44" s="36">
        <v>2</v>
      </c>
      <c r="F44" s="36">
        <v>5</v>
      </c>
      <c r="G44" s="36">
        <v>2</v>
      </c>
      <c r="H44" s="36" t="s">
        <v>106</v>
      </c>
      <c r="I44" s="37" t="s">
        <v>156</v>
      </c>
    </row>
    <row r="45" spans="1:9">
      <c r="A45" s="34">
        <v>109226</v>
      </c>
      <c r="B45" s="35" t="s">
        <v>62</v>
      </c>
      <c r="C45" s="35" t="s">
        <v>18</v>
      </c>
      <c r="D45" s="35" t="s">
        <v>19</v>
      </c>
      <c r="E45" s="36">
        <v>3</v>
      </c>
      <c r="F45" s="36">
        <v>4</v>
      </c>
      <c r="G45" s="36">
        <v>1</v>
      </c>
      <c r="H45" s="36" t="s">
        <v>150</v>
      </c>
      <c r="I45" s="37" t="s">
        <v>157</v>
      </c>
    </row>
    <row r="46" spans="1:9">
      <c r="A46" s="34">
        <v>233300</v>
      </c>
      <c r="B46" s="35" t="s">
        <v>63</v>
      </c>
      <c r="C46" s="35" t="s">
        <v>9</v>
      </c>
      <c r="D46" s="35" t="s">
        <v>7</v>
      </c>
      <c r="E46" s="36">
        <v>5</v>
      </c>
      <c r="F46" s="36">
        <v>2</v>
      </c>
      <c r="G46" s="36">
        <v>1</v>
      </c>
      <c r="H46" s="36" t="s">
        <v>112</v>
      </c>
      <c r="I46" s="37" t="s">
        <v>158</v>
      </c>
    </row>
    <row r="47" spans="1:9">
      <c r="A47" s="34">
        <v>214369</v>
      </c>
      <c r="B47" s="35" t="s">
        <v>64</v>
      </c>
      <c r="C47" s="35" t="s">
        <v>18</v>
      </c>
      <c r="D47" s="35" t="s">
        <v>7</v>
      </c>
      <c r="E47" s="36">
        <v>6</v>
      </c>
      <c r="F47" s="36">
        <v>2</v>
      </c>
      <c r="G47" s="36">
        <v>1</v>
      </c>
      <c r="H47" s="36" t="s">
        <v>106</v>
      </c>
      <c r="I47" s="37" t="s">
        <v>159</v>
      </c>
    </row>
    <row r="48" spans="1:9">
      <c r="A48" s="34">
        <v>216088</v>
      </c>
      <c r="B48" s="35" t="s">
        <v>65</v>
      </c>
      <c r="C48" s="35" t="s">
        <v>18</v>
      </c>
      <c r="D48" s="35" t="s">
        <v>14</v>
      </c>
      <c r="E48" s="36">
        <v>4</v>
      </c>
      <c r="F48" s="36">
        <v>3</v>
      </c>
      <c r="G48" s="36">
        <v>3</v>
      </c>
      <c r="H48" s="36" t="s">
        <v>160</v>
      </c>
      <c r="I48" s="37" t="s">
        <v>161</v>
      </c>
    </row>
    <row r="49" spans="1:9">
      <c r="A49" s="34">
        <v>213170</v>
      </c>
      <c r="B49" s="35" t="s">
        <v>66</v>
      </c>
      <c r="C49" s="35" t="s">
        <v>18</v>
      </c>
      <c r="D49" s="35" t="s">
        <v>14</v>
      </c>
      <c r="E49" s="36">
        <v>4</v>
      </c>
      <c r="F49" s="36">
        <v>3</v>
      </c>
      <c r="G49" s="36">
        <v>2</v>
      </c>
      <c r="H49" s="36" t="s">
        <v>112</v>
      </c>
      <c r="I49" s="37" t="s">
        <v>162</v>
      </c>
    </row>
    <row r="50" spans="1:9">
      <c r="A50" s="34">
        <v>138694</v>
      </c>
      <c r="B50" s="35" t="s">
        <v>67</v>
      </c>
      <c r="C50" s="35" t="s">
        <v>16</v>
      </c>
      <c r="D50" s="35" t="s">
        <v>19</v>
      </c>
      <c r="E50" s="36">
        <v>3</v>
      </c>
      <c r="F50" s="36">
        <v>4</v>
      </c>
      <c r="G50" s="36">
        <v>2</v>
      </c>
      <c r="H50" s="36" t="s">
        <v>110</v>
      </c>
      <c r="I50" s="37" t="s">
        <v>163</v>
      </c>
    </row>
    <row r="51" spans="1:9">
      <c r="A51" s="34">
        <v>136449</v>
      </c>
      <c r="B51" s="35" t="s">
        <v>68</v>
      </c>
      <c r="C51" s="35" t="s">
        <v>6</v>
      </c>
      <c r="D51" s="35" t="s">
        <v>19</v>
      </c>
      <c r="E51" s="36">
        <v>3</v>
      </c>
      <c r="F51" s="36">
        <v>4</v>
      </c>
      <c r="G51" s="36">
        <v>2</v>
      </c>
      <c r="H51" s="36" t="s">
        <v>110</v>
      </c>
      <c r="I51" s="37" t="s">
        <v>164</v>
      </c>
    </row>
    <row r="52" spans="1:9">
      <c r="A52" s="34">
        <v>141281</v>
      </c>
      <c r="B52" s="35" t="s">
        <v>69</v>
      </c>
      <c r="C52" s="35" t="s">
        <v>70</v>
      </c>
      <c r="D52" s="35" t="s">
        <v>19</v>
      </c>
      <c r="E52" s="36">
        <v>3</v>
      </c>
      <c r="F52" s="36">
        <v>4</v>
      </c>
      <c r="G52" s="36">
        <v>2</v>
      </c>
      <c r="H52" s="36" t="s">
        <v>112</v>
      </c>
      <c r="I52" s="37" t="s">
        <v>165</v>
      </c>
    </row>
    <row r="53" spans="1:9">
      <c r="A53" s="34">
        <v>133252</v>
      </c>
      <c r="B53" s="35" t="s">
        <v>71</v>
      </c>
      <c r="C53" s="35" t="s">
        <v>72</v>
      </c>
      <c r="D53" s="35" t="s">
        <v>19</v>
      </c>
      <c r="E53" s="36">
        <v>3</v>
      </c>
      <c r="F53" s="36">
        <v>4</v>
      </c>
      <c r="G53" s="36">
        <v>3</v>
      </c>
      <c r="H53" s="36" t="s">
        <v>160</v>
      </c>
      <c r="I53" s="37" t="s">
        <v>166</v>
      </c>
    </row>
    <row r="54" spans="1:9">
      <c r="A54" s="34">
        <v>211860</v>
      </c>
      <c r="B54" s="35" t="s">
        <v>73</v>
      </c>
      <c r="C54" s="35" t="s">
        <v>21</v>
      </c>
      <c r="D54" s="35" t="s">
        <v>14</v>
      </c>
      <c r="E54" s="36">
        <v>4</v>
      </c>
      <c r="F54" s="36">
        <v>3</v>
      </c>
      <c r="G54" s="36">
        <v>3</v>
      </c>
      <c r="H54" s="36" t="s">
        <v>167</v>
      </c>
      <c r="I54" s="37" t="s">
        <v>168</v>
      </c>
    </row>
    <row r="55" spans="1:9">
      <c r="A55" s="34">
        <v>141117</v>
      </c>
      <c r="B55" s="35" t="s">
        <v>74</v>
      </c>
      <c r="C55" s="35" t="s">
        <v>6</v>
      </c>
      <c r="D55" s="35" t="s">
        <v>19</v>
      </c>
      <c r="E55" s="36">
        <v>3</v>
      </c>
      <c r="F55" s="36">
        <v>4</v>
      </c>
      <c r="G55" s="36">
        <v>1</v>
      </c>
      <c r="H55" s="36" t="s">
        <v>112</v>
      </c>
      <c r="I55" s="37" t="s">
        <v>169</v>
      </c>
    </row>
    <row r="56" spans="1:9">
      <c r="A56" s="34">
        <v>215531</v>
      </c>
      <c r="B56" s="35" t="s">
        <v>75</v>
      </c>
      <c r="C56" s="35" t="s">
        <v>6</v>
      </c>
      <c r="D56" s="35" t="s">
        <v>14</v>
      </c>
      <c r="E56" s="36">
        <v>4</v>
      </c>
      <c r="F56" s="36">
        <v>3</v>
      </c>
      <c r="G56" s="36">
        <v>3</v>
      </c>
      <c r="H56" s="36" t="s">
        <v>160</v>
      </c>
      <c r="I56" s="37" t="s">
        <v>170</v>
      </c>
    </row>
    <row r="57" spans="1:9">
      <c r="A57" s="34">
        <v>242925</v>
      </c>
      <c r="B57" s="35" t="s">
        <v>76</v>
      </c>
      <c r="C57" s="35" t="s">
        <v>18</v>
      </c>
      <c r="D57" s="35" t="s">
        <v>7</v>
      </c>
      <c r="E57" s="36">
        <v>5</v>
      </c>
      <c r="F57" s="36">
        <v>2</v>
      </c>
      <c r="G57" s="36">
        <v>3</v>
      </c>
      <c r="H57" s="36" t="s">
        <v>112</v>
      </c>
      <c r="I57" s="37" t="s">
        <v>171</v>
      </c>
    </row>
    <row r="58" spans="1:9">
      <c r="A58" s="34">
        <v>213434</v>
      </c>
      <c r="B58" s="35" t="s">
        <v>77</v>
      </c>
      <c r="C58" s="35" t="s">
        <v>18</v>
      </c>
      <c r="D58" s="35" t="s">
        <v>14</v>
      </c>
      <c r="E58" s="36">
        <v>4</v>
      </c>
      <c r="F58" s="36">
        <v>3</v>
      </c>
      <c r="G58" s="36">
        <v>1</v>
      </c>
      <c r="H58" s="36" t="s">
        <v>172</v>
      </c>
      <c r="I58" s="37" t="s">
        <v>173</v>
      </c>
    </row>
    <row r="59" spans="1:9">
      <c r="A59" s="34">
        <v>130054</v>
      </c>
      <c r="B59" s="35" t="s">
        <v>78</v>
      </c>
      <c r="C59" s="35" t="s">
        <v>79</v>
      </c>
      <c r="D59" s="35" t="s">
        <v>10</v>
      </c>
      <c r="E59" s="36">
        <v>2</v>
      </c>
      <c r="F59" s="36">
        <v>5</v>
      </c>
      <c r="G59" s="36">
        <v>3</v>
      </c>
      <c r="H59" s="36" t="s">
        <v>114</v>
      </c>
      <c r="I59" s="37" t="s">
        <v>174</v>
      </c>
    </row>
    <row r="60" spans="1:9">
      <c r="A60" s="38">
        <v>133879</v>
      </c>
      <c r="B60" s="39" t="s">
        <v>80</v>
      </c>
      <c r="C60" s="39" t="s">
        <v>6</v>
      </c>
      <c r="D60" s="39" t="s">
        <v>19</v>
      </c>
      <c r="E60" s="40">
        <v>3</v>
      </c>
      <c r="F60" s="40">
        <v>4</v>
      </c>
      <c r="G60" s="40">
        <v>3</v>
      </c>
      <c r="H60" s="40" t="s">
        <v>172</v>
      </c>
      <c r="I60" s="41" t="s">
        <v>175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5"/>
  <sheetViews>
    <sheetView showGridLines="0" workbookViewId="0">
      <selection activeCell="C14" sqref="C14"/>
    </sheetView>
  </sheetViews>
  <sheetFormatPr defaultRowHeight="14.4"/>
  <cols>
    <col min="1" max="1" width="9.09765625" bestFit="1" customWidth="1"/>
    <col min="2" max="4" width="10.8984375" bestFit="1" customWidth="1"/>
    <col min="5" max="5" width="11.8984375" bestFit="1" customWidth="1"/>
    <col min="6" max="7" width="10.8984375" bestFit="1" customWidth="1"/>
  </cols>
  <sheetData>
    <row r="1" spans="1:7" ht="18.3">
      <c r="A1" s="105" t="s">
        <v>176</v>
      </c>
      <c r="B1" s="105"/>
      <c r="C1" s="105"/>
      <c r="D1" s="105"/>
      <c r="E1" s="105"/>
      <c r="F1" s="105"/>
      <c r="G1" s="105"/>
    </row>
    <row r="2" spans="1:7" ht="5.95" customHeight="1"/>
    <row r="3" spans="1:7" ht="30.75" customHeight="1">
      <c r="A3" s="81" t="s">
        <v>219</v>
      </c>
      <c r="B3" s="80">
        <v>1</v>
      </c>
      <c r="C3" s="80">
        <v>2</v>
      </c>
      <c r="D3" s="80">
        <v>3</v>
      </c>
      <c r="E3" s="80">
        <v>4</v>
      </c>
      <c r="F3" s="80">
        <v>5</v>
      </c>
      <c r="G3" s="80">
        <v>6</v>
      </c>
    </row>
    <row r="4" spans="1:7">
      <c r="A4" s="80">
        <v>1</v>
      </c>
      <c r="B4" s="2">
        <v>3382627.5</v>
      </c>
      <c r="C4" s="2">
        <v>3447382.5</v>
      </c>
      <c r="D4" s="2">
        <v>3517920</v>
      </c>
      <c r="E4" s="2">
        <v>35807670</v>
      </c>
      <c r="F4" s="2">
        <v>3661830</v>
      </c>
      <c r="G4" s="2">
        <v>3728497.5</v>
      </c>
    </row>
    <row r="5" spans="1:7">
      <c r="A5" s="80">
        <v>2</v>
      </c>
      <c r="B5" s="2">
        <v>2947320</v>
      </c>
      <c r="C5" s="2">
        <v>3009960</v>
      </c>
      <c r="D5" s="2">
        <v>3079237.5</v>
      </c>
      <c r="E5" s="2">
        <v>3149257.5</v>
      </c>
      <c r="F5" s="2">
        <v>3202222.5</v>
      </c>
      <c r="G5" s="2">
        <v>3272917.5</v>
      </c>
    </row>
    <row r="6" spans="1:7">
      <c r="A6" s="80">
        <v>3</v>
      </c>
      <c r="B6" s="2">
        <v>2580660</v>
      </c>
      <c r="C6" s="2">
        <v>2621295</v>
      </c>
      <c r="D6" s="2">
        <v>2674552.5</v>
      </c>
      <c r="E6" s="2">
        <v>2728710</v>
      </c>
      <c r="F6" s="2">
        <v>2781225</v>
      </c>
      <c r="G6" s="2">
        <v>2838352.5</v>
      </c>
    </row>
    <row r="7" spans="1:7">
      <c r="A7" s="80">
        <v>4</v>
      </c>
      <c r="B7" s="2">
        <v>2235555</v>
      </c>
      <c r="C7" s="2">
        <v>2283255</v>
      </c>
      <c r="D7" s="2">
        <v>2319030</v>
      </c>
      <c r="E7" s="2">
        <v>2363985</v>
      </c>
      <c r="F7" s="2">
        <v>2413732.5</v>
      </c>
      <c r="G7" s="2">
        <v>2459205</v>
      </c>
    </row>
    <row r="8" spans="1:7">
      <c r="A8" s="80">
        <v>5</v>
      </c>
      <c r="B8" s="2">
        <v>1931580</v>
      </c>
      <c r="C8" s="2">
        <v>1969807.5</v>
      </c>
      <c r="D8" s="2">
        <v>2000227.5</v>
      </c>
      <c r="E8" s="2">
        <v>2046622.5</v>
      </c>
      <c r="F8" s="2">
        <v>2083702.5</v>
      </c>
      <c r="G8" s="2">
        <v>2121975</v>
      </c>
    </row>
    <row r="9" spans="1:7">
      <c r="A9" s="80">
        <v>6</v>
      </c>
      <c r="B9" s="2">
        <v>1662952.5</v>
      </c>
      <c r="C9" s="2">
        <v>1693800</v>
      </c>
      <c r="D9" s="2">
        <v>1727730</v>
      </c>
      <c r="E9" s="2">
        <v>1761525</v>
      </c>
      <c r="F9" s="2">
        <v>1796490</v>
      </c>
      <c r="G9" s="2">
        <v>1825425</v>
      </c>
    </row>
    <row r="12" spans="1:7" ht="18.3">
      <c r="A12" s="106" t="s">
        <v>177</v>
      </c>
      <c r="B12" s="106"/>
      <c r="C12" s="106"/>
      <c r="D12" s="106"/>
      <c r="E12" s="106"/>
      <c r="F12" s="106"/>
    </row>
    <row r="13" spans="1:7" ht="5.3" customHeight="1"/>
    <row r="14" spans="1:7" ht="23.95" customHeight="1">
      <c r="A14" s="49" t="s">
        <v>81</v>
      </c>
      <c r="B14" s="49" t="s">
        <v>23</v>
      </c>
      <c r="C14" s="49" t="s">
        <v>10</v>
      </c>
      <c r="D14" s="49" t="s">
        <v>19</v>
      </c>
      <c r="E14" s="49" t="s">
        <v>14</v>
      </c>
      <c r="F14" s="49" t="s">
        <v>7</v>
      </c>
    </row>
    <row r="15" spans="1:7" ht="23.95" customHeight="1">
      <c r="A15" s="49" t="s">
        <v>82</v>
      </c>
      <c r="B15" s="3">
        <v>400000</v>
      </c>
      <c r="C15" s="3">
        <v>300000</v>
      </c>
      <c r="D15" s="3">
        <v>200000</v>
      </c>
      <c r="E15" s="3">
        <v>100000</v>
      </c>
      <c r="F15" s="3">
        <v>0</v>
      </c>
    </row>
  </sheetData>
  <mergeCells count="2">
    <mergeCell ref="A1:G1"/>
    <mergeCell ref="A12:F1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M356"/>
  <sheetViews>
    <sheetView showGridLines="0" workbookViewId="0">
      <selection activeCell="C12" sqref="C12"/>
    </sheetView>
  </sheetViews>
  <sheetFormatPr defaultRowHeight="14.4"/>
  <cols>
    <col min="1" max="1" width="1.8984375" customWidth="1"/>
    <col min="2" max="2" width="15.69921875" customWidth="1"/>
    <col min="3" max="5" width="10.3984375" bestFit="1" customWidth="1"/>
    <col min="8" max="8" width="13" bestFit="1" customWidth="1"/>
    <col min="12" max="12" width="13.69921875" bestFit="1" customWidth="1"/>
  </cols>
  <sheetData>
    <row r="1" spans="2:13" ht="18.3">
      <c r="B1" s="107" t="s">
        <v>83</v>
      </c>
      <c r="C1" s="107"/>
      <c r="D1" s="107"/>
      <c r="E1" s="107"/>
      <c r="G1" s="107" t="s">
        <v>84</v>
      </c>
      <c r="H1" s="107"/>
      <c r="I1" s="107"/>
      <c r="K1" s="107" t="s">
        <v>85</v>
      </c>
      <c r="L1" s="107"/>
      <c r="M1" s="107"/>
    </row>
    <row r="2" spans="2:13" ht="5.3" customHeight="1"/>
    <row r="3" spans="2:13" ht="28.8">
      <c r="B3" s="4" t="s">
        <v>86</v>
      </c>
      <c r="C3" s="5">
        <v>1</v>
      </c>
      <c r="D3" s="5">
        <v>2</v>
      </c>
      <c r="E3" s="6">
        <v>3</v>
      </c>
      <c r="G3" s="7" t="s">
        <v>87</v>
      </c>
      <c r="H3" s="8" t="s">
        <v>88</v>
      </c>
      <c r="I3" s="9" t="s">
        <v>89</v>
      </c>
      <c r="K3" s="10" t="s">
        <v>87</v>
      </c>
      <c r="L3" s="11" t="s">
        <v>90</v>
      </c>
      <c r="M3" s="12" t="s">
        <v>178</v>
      </c>
    </row>
    <row r="4" spans="2:13">
      <c r="B4" s="13">
        <v>0</v>
      </c>
      <c r="C4" s="14">
        <v>0</v>
      </c>
      <c r="D4" s="14">
        <v>0</v>
      </c>
      <c r="E4" s="15">
        <v>0</v>
      </c>
      <c r="G4" s="16">
        <v>17</v>
      </c>
      <c r="H4" s="17">
        <v>700000</v>
      </c>
      <c r="I4" s="108">
        <v>4.4999999999999998E-2</v>
      </c>
      <c r="K4" s="18" t="s">
        <v>91</v>
      </c>
      <c r="L4" s="19">
        <v>700000</v>
      </c>
      <c r="M4" s="111">
        <v>3.0349999999999999E-2</v>
      </c>
    </row>
    <row r="5" spans="2:13">
      <c r="B5" s="13">
        <v>1000000</v>
      </c>
      <c r="C5" s="14">
        <v>0</v>
      </c>
      <c r="D5" s="14">
        <v>0</v>
      </c>
      <c r="E5" s="15">
        <v>0</v>
      </c>
      <c r="G5" s="20">
        <v>18</v>
      </c>
      <c r="H5" s="21">
        <v>730000</v>
      </c>
      <c r="I5" s="109"/>
      <c r="K5" s="22" t="s">
        <v>92</v>
      </c>
      <c r="L5" s="17">
        <v>800000</v>
      </c>
      <c r="M5" s="112"/>
    </row>
    <row r="6" spans="2:13">
      <c r="B6" s="23">
        <v>1005000</v>
      </c>
      <c r="C6" s="24">
        <v>0</v>
      </c>
      <c r="D6" s="24">
        <v>0</v>
      </c>
      <c r="E6" s="25">
        <v>0</v>
      </c>
      <c r="G6" s="20">
        <v>19</v>
      </c>
      <c r="H6" s="21">
        <v>790000</v>
      </c>
      <c r="I6" s="109"/>
      <c r="K6" s="26" t="s">
        <v>93</v>
      </c>
      <c r="L6" s="21">
        <v>900000</v>
      </c>
      <c r="M6" s="112"/>
    </row>
    <row r="7" spans="2:13">
      <c r="B7" s="23">
        <v>1010000</v>
      </c>
      <c r="C7" s="24">
        <v>0</v>
      </c>
      <c r="D7" s="24">
        <v>0</v>
      </c>
      <c r="E7" s="25">
        <v>0</v>
      </c>
      <c r="G7" s="20">
        <v>20</v>
      </c>
      <c r="H7" s="21">
        <v>850000</v>
      </c>
      <c r="I7" s="109"/>
      <c r="K7" s="26" t="s">
        <v>94</v>
      </c>
      <c r="L7" s="21">
        <v>1000000</v>
      </c>
      <c r="M7" s="112"/>
    </row>
    <row r="8" spans="2:13">
      <c r="B8" s="23">
        <v>1015000</v>
      </c>
      <c r="C8" s="24">
        <v>0</v>
      </c>
      <c r="D8" s="24">
        <v>0</v>
      </c>
      <c r="E8" s="25">
        <v>0</v>
      </c>
      <c r="G8" s="20">
        <v>21</v>
      </c>
      <c r="H8" s="21">
        <v>920000</v>
      </c>
      <c r="I8" s="109"/>
      <c r="K8" s="26" t="s">
        <v>95</v>
      </c>
      <c r="L8" s="21">
        <v>1100000</v>
      </c>
      <c r="M8" s="112"/>
    </row>
    <row r="9" spans="2:13">
      <c r="B9" s="23">
        <v>1020000</v>
      </c>
      <c r="C9" s="24">
        <v>0</v>
      </c>
      <c r="D9" s="24">
        <v>0</v>
      </c>
      <c r="E9" s="25">
        <v>0</v>
      </c>
      <c r="G9" s="20">
        <v>22</v>
      </c>
      <c r="H9" s="21">
        <v>990000</v>
      </c>
      <c r="I9" s="109"/>
      <c r="K9" s="26" t="s">
        <v>96</v>
      </c>
      <c r="L9" s="21">
        <v>1200000</v>
      </c>
      <c r="M9" s="112"/>
    </row>
    <row r="10" spans="2:13">
      <c r="B10" s="23">
        <v>1025000</v>
      </c>
      <c r="C10" s="24">
        <v>0</v>
      </c>
      <c r="D10" s="24">
        <v>0</v>
      </c>
      <c r="E10" s="25">
        <v>0</v>
      </c>
      <c r="G10" s="20">
        <v>23</v>
      </c>
      <c r="H10" s="21">
        <v>1060000</v>
      </c>
      <c r="I10" s="109"/>
      <c r="K10" s="26" t="s">
        <v>97</v>
      </c>
      <c r="L10" s="21">
        <v>1300000</v>
      </c>
      <c r="M10" s="112"/>
    </row>
    <row r="11" spans="2:13">
      <c r="B11" s="23">
        <v>1030000</v>
      </c>
      <c r="C11" s="24">
        <v>0</v>
      </c>
      <c r="D11" s="24">
        <v>0</v>
      </c>
      <c r="E11" s="25">
        <v>0</v>
      </c>
      <c r="G11" s="20">
        <v>24</v>
      </c>
      <c r="H11" s="21">
        <v>1130000</v>
      </c>
      <c r="I11" s="109"/>
      <c r="K11" s="26" t="s">
        <v>98</v>
      </c>
      <c r="L11" s="21">
        <v>1400000</v>
      </c>
      <c r="M11" s="112"/>
    </row>
    <row r="12" spans="2:13">
      <c r="B12" s="23">
        <v>1035000</v>
      </c>
      <c r="C12" s="24">
        <v>0</v>
      </c>
      <c r="D12" s="24">
        <v>0</v>
      </c>
      <c r="E12" s="25">
        <v>0</v>
      </c>
      <c r="G12" s="20">
        <v>25</v>
      </c>
      <c r="H12" s="21">
        <v>1210000</v>
      </c>
      <c r="I12" s="109"/>
      <c r="K12" s="26" t="s">
        <v>99</v>
      </c>
      <c r="L12" s="21">
        <v>1500000</v>
      </c>
      <c r="M12" s="112"/>
    </row>
    <row r="13" spans="2:13">
      <c r="B13" s="23">
        <v>1040000</v>
      </c>
      <c r="C13" s="24">
        <v>0</v>
      </c>
      <c r="D13" s="24">
        <v>0</v>
      </c>
      <c r="E13" s="25">
        <v>0</v>
      </c>
      <c r="G13" s="20">
        <v>26</v>
      </c>
      <c r="H13" s="21">
        <v>1290000</v>
      </c>
      <c r="I13" s="109"/>
      <c r="K13" s="26" t="s">
        <v>100</v>
      </c>
      <c r="L13" s="21">
        <v>1600000</v>
      </c>
      <c r="M13" s="112"/>
    </row>
    <row r="14" spans="2:13">
      <c r="B14" s="23">
        <v>1045000</v>
      </c>
      <c r="C14" s="24">
        <v>30</v>
      </c>
      <c r="D14" s="24">
        <v>0</v>
      </c>
      <c r="E14" s="25">
        <v>0</v>
      </c>
      <c r="G14" s="20">
        <v>27</v>
      </c>
      <c r="H14" s="21">
        <v>1380000</v>
      </c>
      <c r="I14" s="109"/>
      <c r="K14" s="26" t="s">
        <v>101</v>
      </c>
      <c r="L14" s="21">
        <v>1700000</v>
      </c>
      <c r="M14" s="112"/>
    </row>
    <row r="15" spans="2:13">
      <c r="B15" s="23">
        <v>1050000</v>
      </c>
      <c r="C15" s="24">
        <v>120</v>
      </c>
      <c r="D15" s="24">
        <v>0</v>
      </c>
      <c r="E15" s="25">
        <v>0</v>
      </c>
      <c r="G15" s="20">
        <v>28</v>
      </c>
      <c r="H15" s="21">
        <v>1470000</v>
      </c>
      <c r="I15" s="109"/>
      <c r="K15" s="26" t="s">
        <v>102</v>
      </c>
      <c r="L15" s="21">
        <v>18300000</v>
      </c>
      <c r="M15" s="112"/>
    </row>
    <row r="16" spans="2:13">
      <c r="B16" s="23">
        <v>1055000</v>
      </c>
      <c r="C16" s="24">
        <v>210</v>
      </c>
      <c r="D16" s="24">
        <v>0</v>
      </c>
      <c r="E16" s="25">
        <v>0</v>
      </c>
      <c r="G16" s="20">
        <v>29</v>
      </c>
      <c r="H16" s="21">
        <v>1560000</v>
      </c>
      <c r="I16" s="109"/>
      <c r="K16" s="27" t="s">
        <v>103</v>
      </c>
      <c r="L16" s="28">
        <v>19800000</v>
      </c>
      <c r="M16" s="113"/>
    </row>
    <row r="17" spans="2:9">
      <c r="B17" s="23">
        <v>1060000</v>
      </c>
      <c r="C17" s="24">
        <v>300</v>
      </c>
      <c r="D17" s="24">
        <v>0</v>
      </c>
      <c r="E17" s="25">
        <v>0</v>
      </c>
      <c r="G17" s="20">
        <v>30</v>
      </c>
      <c r="H17" s="21">
        <v>1660000</v>
      </c>
      <c r="I17" s="109"/>
    </row>
    <row r="18" spans="2:9">
      <c r="B18" s="23">
        <v>1065000</v>
      </c>
      <c r="C18" s="24">
        <v>390</v>
      </c>
      <c r="D18" s="24">
        <v>0</v>
      </c>
      <c r="E18" s="25">
        <v>0</v>
      </c>
      <c r="G18" s="20">
        <v>31</v>
      </c>
      <c r="H18" s="21">
        <v>1760000</v>
      </c>
      <c r="I18" s="109"/>
    </row>
    <row r="19" spans="2:9">
      <c r="B19" s="23">
        <v>1070000</v>
      </c>
      <c r="C19" s="24">
        <v>480</v>
      </c>
      <c r="D19" s="24">
        <v>0</v>
      </c>
      <c r="E19" s="25">
        <v>0</v>
      </c>
      <c r="G19" s="20">
        <v>32</v>
      </c>
      <c r="H19" s="21">
        <v>1860000</v>
      </c>
      <c r="I19" s="109"/>
    </row>
    <row r="20" spans="2:9">
      <c r="B20" s="23">
        <v>1075000</v>
      </c>
      <c r="C20" s="24">
        <v>570</v>
      </c>
      <c r="D20" s="24">
        <v>0</v>
      </c>
      <c r="E20" s="25">
        <v>0</v>
      </c>
      <c r="G20" s="29">
        <v>33</v>
      </c>
      <c r="H20" s="28">
        <v>1970000</v>
      </c>
      <c r="I20" s="110"/>
    </row>
    <row r="21" spans="2:9">
      <c r="B21" s="23">
        <v>1080000</v>
      </c>
      <c r="C21" s="24">
        <v>660</v>
      </c>
      <c r="D21" s="24">
        <v>0</v>
      </c>
      <c r="E21" s="25">
        <v>0</v>
      </c>
    </row>
    <row r="22" spans="2:9">
      <c r="B22" s="23">
        <v>1085000</v>
      </c>
      <c r="C22" s="24">
        <v>750</v>
      </c>
      <c r="D22" s="24">
        <v>0</v>
      </c>
      <c r="E22" s="25">
        <v>0</v>
      </c>
    </row>
    <row r="23" spans="2:9">
      <c r="B23" s="23">
        <v>1090000</v>
      </c>
      <c r="C23" s="24">
        <v>840</v>
      </c>
      <c r="D23" s="24">
        <v>0</v>
      </c>
      <c r="E23" s="25">
        <v>0</v>
      </c>
    </row>
    <row r="24" spans="2:9">
      <c r="B24" s="23">
        <v>1095000</v>
      </c>
      <c r="C24" s="24">
        <v>820</v>
      </c>
      <c r="D24" s="24">
        <v>0</v>
      </c>
      <c r="E24" s="25">
        <v>0</v>
      </c>
    </row>
    <row r="25" spans="2:9">
      <c r="B25" s="23">
        <v>1100000</v>
      </c>
      <c r="C25" s="24">
        <v>910</v>
      </c>
      <c r="D25" s="24">
        <v>0</v>
      </c>
      <c r="E25" s="25">
        <v>0</v>
      </c>
      <c r="H25" s="30"/>
    </row>
    <row r="26" spans="2:9">
      <c r="B26" s="23">
        <v>1105000</v>
      </c>
      <c r="C26" s="24">
        <v>1000</v>
      </c>
      <c r="D26" s="24">
        <v>0</v>
      </c>
      <c r="E26" s="25">
        <v>0</v>
      </c>
    </row>
    <row r="27" spans="2:9">
      <c r="B27" s="23">
        <v>1110000</v>
      </c>
      <c r="C27" s="24">
        <v>1090</v>
      </c>
      <c r="D27" s="24">
        <v>0</v>
      </c>
      <c r="E27" s="25">
        <v>0</v>
      </c>
    </row>
    <row r="28" spans="2:9">
      <c r="B28" s="23">
        <v>1115000</v>
      </c>
      <c r="C28" s="24">
        <v>1180</v>
      </c>
      <c r="D28" s="24">
        <v>0</v>
      </c>
      <c r="E28" s="25">
        <v>0</v>
      </c>
    </row>
    <row r="29" spans="2:9">
      <c r="B29" s="23">
        <v>1120000</v>
      </c>
      <c r="C29" s="24">
        <v>1270</v>
      </c>
      <c r="D29" s="24">
        <v>0</v>
      </c>
      <c r="E29" s="25">
        <v>0</v>
      </c>
    </row>
    <row r="30" spans="2:9">
      <c r="B30" s="23">
        <v>1125000</v>
      </c>
      <c r="C30" s="24">
        <v>1360</v>
      </c>
      <c r="D30" s="24">
        <v>0</v>
      </c>
      <c r="E30" s="25">
        <v>0</v>
      </c>
    </row>
    <row r="31" spans="2:9">
      <c r="B31" s="23">
        <v>1130000</v>
      </c>
      <c r="C31" s="24">
        <v>1450</v>
      </c>
      <c r="D31" s="24">
        <v>0</v>
      </c>
      <c r="E31" s="25">
        <v>0</v>
      </c>
    </row>
    <row r="32" spans="2:9">
      <c r="B32" s="23">
        <v>1135000</v>
      </c>
      <c r="C32" s="24">
        <v>1540</v>
      </c>
      <c r="D32" s="24">
        <v>40</v>
      </c>
      <c r="E32" s="25">
        <v>0</v>
      </c>
    </row>
    <row r="33" spans="2:5">
      <c r="B33" s="23">
        <v>1140000</v>
      </c>
      <c r="C33" s="24">
        <v>1630</v>
      </c>
      <c r="D33" s="24">
        <v>130</v>
      </c>
      <c r="E33" s="25">
        <v>0</v>
      </c>
    </row>
    <row r="34" spans="2:5">
      <c r="B34" s="23">
        <v>1145000</v>
      </c>
      <c r="C34" s="24">
        <v>1720</v>
      </c>
      <c r="D34" s="24">
        <v>220</v>
      </c>
      <c r="E34" s="25">
        <v>0</v>
      </c>
    </row>
    <row r="35" spans="2:5">
      <c r="B35" s="23">
        <v>1150000</v>
      </c>
      <c r="C35" s="24">
        <v>1810</v>
      </c>
      <c r="D35" s="24">
        <v>310</v>
      </c>
      <c r="E35" s="25">
        <v>0</v>
      </c>
    </row>
    <row r="36" spans="2:5">
      <c r="B36" s="23">
        <v>1155000</v>
      </c>
      <c r="C36" s="24">
        <v>1900</v>
      </c>
      <c r="D36" s="24">
        <v>400</v>
      </c>
      <c r="E36" s="25">
        <v>0</v>
      </c>
    </row>
    <row r="37" spans="2:5">
      <c r="B37" s="23">
        <v>1160000</v>
      </c>
      <c r="C37" s="24">
        <v>1990</v>
      </c>
      <c r="D37" s="24">
        <v>490</v>
      </c>
      <c r="E37" s="25">
        <v>0</v>
      </c>
    </row>
    <row r="38" spans="2:5">
      <c r="B38" s="23">
        <v>1165000</v>
      </c>
      <c r="C38" s="24">
        <v>2080</v>
      </c>
      <c r="D38" s="24">
        <v>580</v>
      </c>
      <c r="E38" s="25">
        <v>0</v>
      </c>
    </row>
    <row r="39" spans="2:5">
      <c r="B39" s="23">
        <v>1170000</v>
      </c>
      <c r="C39" s="24">
        <v>2040</v>
      </c>
      <c r="D39" s="24">
        <v>540</v>
      </c>
      <c r="E39" s="25">
        <v>0</v>
      </c>
    </row>
    <row r="40" spans="2:5">
      <c r="B40" s="23">
        <v>1175000</v>
      </c>
      <c r="C40" s="24">
        <v>2130</v>
      </c>
      <c r="D40" s="24">
        <v>630</v>
      </c>
      <c r="E40" s="25">
        <v>0</v>
      </c>
    </row>
    <row r="41" spans="2:5">
      <c r="B41" s="23">
        <v>1180000</v>
      </c>
      <c r="C41" s="24">
        <v>2220</v>
      </c>
      <c r="D41" s="24">
        <v>720</v>
      </c>
      <c r="E41" s="25">
        <v>0</v>
      </c>
    </row>
    <row r="42" spans="2:5">
      <c r="B42" s="23">
        <v>1185000</v>
      </c>
      <c r="C42" s="24">
        <v>2310</v>
      </c>
      <c r="D42" s="24">
        <v>810</v>
      </c>
      <c r="E42" s="25">
        <v>0</v>
      </c>
    </row>
    <row r="43" spans="2:5">
      <c r="B43" s="23">
        <v>1190000</v>
      </c>
      <c r="C43" s="24">
        <v>2400</v>
      </c>
      <c r="D43" s="24">
        <v>900</v>
      </c>
      <c r="E43" s="25">
        <v>0</v>
      </c>
    </row>
    <row r="44" spans="2:5">
      <c r="B44" s="23">
        <v>1195000</v>
      </c>
      <c r="C44" s="24">
        <v>2490</v>
      </c>
      <c r="D44" s="24">
        <v>990</v>
      </c>
      <c r="E44" s="25">
        <v>0</v>
      </c>
    </row>
    <row r="45" spans="2:5">
      <c r="B45" s="23">
        <v>1200000</v>
      </c>
      <c r="C45" s="24">
        <v>2580</v>
      </c>
      <c r="D45" s="24">
        <v>1080</v>
      </c>
      <c r="E45" s="25">
        <v>0</v>
      </c>
    </row>
    <row r="46" spans="2:5">
      <c r="B46" s="23">
        <v>1205000</v>
      </c>
      <c r="C46" s="24">
        <v>2670</v>
      </c>
      <c r="D46" s="24">
        <v>1170</v>
      </c>
      <c r="E46" s="25">
        <v>0</v>
      </c>
    </row>
    <row r="47" spans="2:5">
      <c r="B47" s="23">
        <v>1210000</v>
      </c>
      <c r="C47" s="24">
        <v>2760</v>
      </c>
      <c r="D47" s="24">
        <v>1260</v>
      </c>
      <c r="E47" s="25">
        <v>0</v>
      </c>
    </row>
    <row r="48" spans="2:5">
      <c r="B48" s="23">
        <v>1215000</v>
      </c>
      <c r="C48" s="24">
        <v>2850</v>
      </c>
      <c r="D48" s="24">
        <v>1350</v>
      </c>
      <c r="E48" s="25">
        <v>0</v>
      </c>
    </row>
    <row r="49" spans="2:5">
      <c r="B49" s="23">
        <v>1220000</v>
      </c>
      <c r="C49" s="24">
        <v>2940</v>
      </c>
      <c r="D49" s="24">
        <v>1440</v>
      </c>
      <c r="E49" s="25">
        <v>0</v>
      </c>
    </row>
    <row r="50" spans="2:5">
      <c r="B50" s="23">
        <v>1225000</v>
      </c>
      <c r="C50" s="24">
        <v>3030</v>
      </c>
      <c r="D50" s="24">
        <v>1530</v>
      </c>
      <c r="E50" s="25">
        <v>0</v>
      </c>
    </row>
    <row r="51" spans="2:5">
      <c r="B51" s="23">
        <v>1230000</v>
      </c>
      <c r="C51" s="24">
        <v>3120</v>
      </c>
      <c r="D51" s="24">
        <v>1620</v>
      </c>
      <c r="E51" s="25">
        <v>0</v>
      </c>
    </row>
    <row r="52" spans="2:5">
      <c r="B52" s="23">
        <v>1235000</v>
      </c>
      <c r="C52" s="24">
        <v>3210</v>
      </c>
      <c r="D52" s="24">
        <v>1710</v>
      </c>
      <c r="E52" s="25">
        <v>0</v>
      </c>
    </row>
    <row r="53" spans="2:5">
      <c r="B53" s="23">
        <v>1240000</v>
      </c>
      <c r="C53" s="24">
        <v>3300</v>
      </c>
      <c r="D53" s="24">
        <v>1800</v>
      </c>
      <c r="E53" s="25">
        <v>0</v>
      </c>
    </row>
    <row r="54" spans="2:5">
      <c r="B54" s="23">
        <v>1245000</v>
      </c>
      <c r="C54" s="24">
        <v>3390</v>
      </c>
      <c r="D54" s="24">
        <v>1890</v>
      </c>
      <c r="E54" s="25">
        <v>0</v>
      </c>
    </row>
    <row r="55" spans="2:5">
      <c r="B55" s="23">
        <v>1250000</v>
      </c>
      <c r="C55" s="24">
        <v>3380</v>
      </c>
      <c r="D55" s="24">
        <v>1880</v>
      </c>
      <c r="E55" s="25">
        <v>0</v>
      </c>
    </row>
    <row r="56" spans="2:5">
      <c r="B56" s="23">
        <v>1255000</v>
      </c>
      <c r="C56" s="24">
        <v>3530</v>
      </c>
      <c r="D56" s="24">
        <v>2030</v>
      </c>
      <c r="E56" s="25">
        <v>0</v>
      </c>
    </row>
    <row r="57" spans="2:5">
      <c r="B57" s="23">
        <v>1260000</v>
      </c>
      <c r="C57" s="24">
        <v>3690</v>
      </c>
      <c r="D57" s="24">
        <v>2190</v>
      </c>
      <c r="E57" s="25">
        <v>0</v>
      </c>
    </row>
    <row r="58" spans="2:5">
      <c r="B58" s="23">
        <v>1265000</v>
      </c>
      <c r="C58" s="24">
        <v>3840</v>
      </c>
      <c r="D58" s="24">
        <v>2340</v>
      </c>
      <c r="E58" s="25">
        <v>0</v>
      </c>
    </row>
    <row r="59" spans="2:5">
      <c r="B59" s="23">
        <v>1270000</v>
      </c>
      <c r="C59" s="24">
        <v>3990</v>
      </c>
      <c r="D59" s="24">
        <v>2490</v>
      </c>
      <c r="E59" s="25">
        <v>0</v>
      </c>
    </row>
    <row r="60" spans="2:5">
      <c r="B60" s="23">
        <v>1275000</v>
      </c>
      <c r="C60" s="24">
        <v>4150</v>
      </c>
      <c r="D60" s="24">
        <v>2650</v>
      </c>
      <c r="E60" s="25">
        <v>0</v>
      </c>
    </row>
    <row r="61" spans="2:5">
      <c r="B61" s="23">
        <v>1280000</v>
      </c>
      <c r="C61" s="24">
        <v>4300</v>
      </c>
      <c r="D61" s="24">
        <v>2800</v>
      </c>
      <c r="E61" s="25">
        <v>0</v>
      </c>
    </row>
    <row r="62" spans="2:5">
      <c r="B62" s="23">
        <v>1285000</v>
      </c>
      <c r="C62" s="24">
        <v>4450</v>
      </c>
      <c r="D62" s="24">
        <v>2950</v>
      </c>
      <c r="E62" s="25">
        <v>0</v>
      </c>
    </row>
    <row r="63" spans="2:5">
      <c r="B63" s="23">
        <v>1290000</v>
      </c>
      <c r="C63" s="24">
        <v>4610</v>
      </c>
      <c r="D63" s="24">
        <v>3110</v>
      </c>
      <c r="E63" s="25">
        <v>0</v>
      </c>
    </row>
    <row r="64" spans="2:5">
      <c r="B64" s="23">
        <v>1295000</v>
      </c>
      <c r="C64" s="24">
        <v>4760</v>
      </c>
      <c r="D64" s="24">
        <v>3260</v>
      </c>
      <c r="E64" s="25">
        <v>0</v>
      </c>
    </row>
    <row r="65" spans="2:5">
      <c r="B65" s="23">
        <v>1300000</v>
      </c>
      <c r="C65" s="24">
        <v>4910</v>
      </c>
      <c r="D65" s="24">
        <v>3410</v>
      </c>
      <c r="E65" s="25">
        <v>0</v>
      </c>
    </row>
    <row r="66" spans="2:5">
      <c r="B66" s="23">
        <v>1305000</v>
      </c>
      <c r="C66" s="24">
        <v>5060</v>
      </c>
      <c r="D66" s="24">
        <v>3560</v>
      </c>
      <c r="E66" s="25">
        <v>0</v>
      </c>
    </row>
    <row r="67" spans="2:5">
      <c r="B67" s="23">
        <v>1310000</v>
      </c>
      <c r="C67" s="24">
        <v>5220</v>
      </c>
      <c r="D67" s="24">
        <v>3720</v>
      </c>
      <c r="E67" s="25">
        <v>0</v>
      </c>
    </row>
    <row r="68" spans="2:5">
      <c r="B68" s="23">
        <v>1315000</v>
      </c>
      <c r="C68" s="24">
        <v>5370</v>
      </c>
      <c r="D68" s="24">
        <v>3870</v>
      </c>
      <c r="E68" s="25">
        <v>0</v>
      </c>
    </row>
    <row r="69" spans="2:5">
      <c r="B69" s="23">
        <v>1320000</v>
      </c>
      <c r="C69" s="24">
        <v>5520</v>
      </c>
      <c r="D69" s="24">
        <v>4020</v>
      </c>
      <c r="E69" s="25">
        <v>0</v>
      </c>
    </row>
    <row r="70" spans="2:5">
      <c r="B70" s="23">
        <v>1325000</v>
      </c>
      <c r="C70" s="24">
        <v>5680</v>
      </c>
      <c r="D70" s="24">
        <v>4180</v>
      </c>
      <c r="E70" s="25">
        <v>0</v>
      </c>
    </row>
    <row r="71" spans="2:5">
      <c r="B71" s="23">
        <v>1330000</v>
      </c>
      <c r="C71" s="24">
        <v>5830</v>
      </c>
      <c r="D71" s="24">
        <v>4330</v>
      </c>
      <c r="E71" s="25">
        <v>0</v>
      </c>
    </row>
    <row r="72" spans="2:5">
      <c r="B72" s="23">
        <v>1335000</v>
      </c>
      <c r="C72" s="24">
        <v>5840</v>
      </c>
      <c r="D72" s="24">
        <v>4340</v>
      </c>
      <c r="E72" s="25">
        <v>0</v>
      </c>
    </row>
    <row r="73" spans="2:5">
      <c r="B73" s="23">
        <v>1340000</v>
      </c>
      <c r="C73" s="24">
        <v>5990</v>
      </c>
      <c r="D73" s="24">
        <v>4490</v>
      </c>
      <c r="E73" s="25">
        <v>0</v>
      </c>
    </row>
    <row r="74" spans="2:5">
      <c r="B74" s="23">
        <v>1345000</v>
      </c>
      <c r="C74" s="24">
        <v>6140</v>
      </c>
      <c r="D74" s="24">
        <v>4640</v>
      </c>
      <c r="E74" s="25">
        <v>0</v>
      </c>
    </row>
    <row r="75" spans="2:5">
      <c r="B75" s="23">
        <v>1350000</v>
      </c>
      <c r="C75" s="24">
        <v>6300</v>
      </c>
      <c r="D75" s="24">
        <v>4800</v>
      </c>
      <c r="E75" s="25">
        <v>0</v>
      </c>
    </row>
    <row r="76" spans="2:5">
      <c r="B76" s="23">
        <v>1355000</v>
      </c>
      <c r="C76" s="24">
        <v>6450</v>
      </c>
      <c r="D76" s="24">
        <v>4950</v>
      </c>
      <c r="E76" s="25">
        <v>0</v>
      </c>
    </row>
    <row r="77" spans="2:5">
      <c r="B77" s="23">
        <v>1360000</v>
      </c>
      <c r="C77" s="24">
        <v>6600</v>
      </c>
      <c r="D77" s="24">
        <v>5100</v>
      </c>
      <c r="E77" s="25">
        <v>0</v>
      </c>
    </row>
    <row r="78" spans="2:5">
      <c r="B78" s="23">
        <v>1365000</v>
      </c>
      <c r="C78" s="24">
        <v>6750</v>
      </c>
      <c r="D78" s="24">
        <v>5250</v>
      </c>
      <c r="E78" s="25">
        <v>150</v>
      </c>
    </row>
    <row r="79" spans="2:5">
      <c r="B79" s="23">
        <v>1370000</v>
      </c>
      <c r="C79" s="24">
        <v>6910</v>
      </c>
      <c r="D79" s="24">
        <v>5410</v>
      </c>
      <c r="E79" s="25">
        <v>310</v>
      </c>
    </row>
    <row r="80" spans="2:5">
      <c r="B80" s="23">
        <v>1375000</v>
      </c>
      <c r="C80" s="24">
        <v>7060</v>
      </c>
      <c r="D80" s="24">
        <v>5560</v>
      </c>
      <c r="E80" s="25">
        <v>460</v>
      </c>
    </row>
    <row r="81" spans="2:5">
      <c r="B81" s="23">
        <v>1380000</v>
      </c>
      <c r="C81" s="24">
        <v>7210</v>
      </c>
      <c r="D81" s="24">
        <v>5710</v>
      </c>
      <c r="E81" s="25">
        <v>610</v>
      </c>
    </row>
    <row r="82" spans="2:5">
      <c r="B82" s="23">
        <v>1385000</v>
      </c>
      <c r="C82" s="24">
        <v>7370</v>
      </c>
      <c r="D82" s="24">
        <v>5870</v>
      </c>
      <c r="E82" s="25">
        <v>770</v>
      </c>
    </row>
    <row r="83" spans="2:5">
      <c r="B83" s="23">
        <v>1390000</v>
      </c>
      <c r="C83" s="24">
        <v>7520</v>
      </c>
      <c r="D83" s="24">
        <v>6020</v>
      </c>
      <c r="E83" s="25">
        <v>920</v>
      </c>
    </row>
    <row r="84" spans="2:5">
      <c r="B84" s="23">
        <v>1395000</v>
      </c>
      <c r="C84" s="24">
        <v>7670</v>
      </c>
      <c r="D84" s="24">
        <v>6170</v>
      </c>
      <c r="E84" s="25">
        <v>1070</v>
      </c>
    </row>
    <row r="85" spans="2:5">
      <c r="B85" s="23">
        <v>1400000</v>
      </c>
      <c r="C85" s="24">
        <v>7830</v>
      </c>
      <c r="D85" s="24">
        <v>6330</v>
      </c>
      <c r="E85" s="25">
        <v>1230</v>
      </c>
    </row>
    <row r="86" spans="2:5">
      <c r="B86" s="23">
        <v>1405000</v>
      </c>
      <c r="C86" s="24">
        <v>7980</v>
      </c>
      <c r="D86" s="24">
        <v>6480</v>
      </c>
      <c r="E86" s="25">
        <v>1380</v>
      </c>
    </row>
    <row r="87" spans="2:5">
      <c r="B87" s="23">
        <v>1410000</v>
      </c>
      <c r="C87" s="24">
        <v>8130</v>
      </c>
      <c r="D87" s="24">
        <v>6630</v>
      </c>
      <c r="E87" s="25">
        <v>1530</v>
      </c>
    </row>
    <row r="88" spans="2:5">
      <c r="B88" s="23">
        <v>1415000</v>
      </c>
      <c r="C88" s="24">
        <v>8280</v>
      </c>
      <c r="D88" s="24">
        <v>6780</v>
      </c>
      <c r="E88" s="25">
        <v>1680</v>
      </c>
    </row>
    <row r="89" spans="2:5">
      <c r="B89" s="23">
        <v>1420000</v>
      </c>
      <c r="C89" s="24">
        <v>8440</v>
      </c>
      <c r="D89" s="24">
        <v>6940</v>
      </c>
      <c r="E89" s="25">
        <v>1840</v>
      </c>
    </row>
    <row r="90" spans="2:5">
      <c r="B90" s="23">
        <v>1425000</v>
      </c>
      <c r="C90" s="24">
        <v>8450</v>
      </c>
      <c r="D90" s="24">
        <v>6950</v>
      </c>
      <c r="E90" s="25">
        <v>1850</v>
      </c>
    </row>
    <row r="91" spans="2:5">
      <c r="B91" s="23">
        <v>1430000</v>
      </c>
      <c r="C91" s="24">
        <v>8600</v>
      </c>
      <c r="D91" s="24">
        <v>7100</v>
      </c>
      <c r="E91" s="25">
        <v>2000</v>
      </c>
    </row>
    <row r="92" spans="2:5">
      <c r="B92" s="23">
        <v>1435000</v>
      </c>
      <c r="C92" s="24">
        <v>8750</v>
      </c>
      <c r="D92" s="24">
        <v>7250</v>
      </c>
      <c r="E92" s="25">
        <v>2150</v>
      </c>
    </row>
    <row r="93" spans="2:5">
      <c r="B93" s="23">
        <v>1440000</v>
      </c>
      <c r="C93" s="24">
        <v>8900</v>
      </c>
      <c r="D93" s="24">
        <v>7400</v>
      </c>
      <c r="E93" s="25">
        <v>2300</v>
      </c>
    </row>
    <row r="94" spans="2:5">
      <c r="B94" s="23">
        <v>1445000</v>
      </c>
      <c r="C94" s="24">
        <v>9060</v>
      </c>
      <c r="D94" s="24">
        <v>7560</v>
      </c>
      <c r="E94" s="25">
        <v>2460</v>
      </c>
    </row>
    <row r="95" spans="2:5">
      <c r="B95" s="23">
        <v>1450000</v>
      </c>
      <c r="C95" s="24">
        <v>9210</v>
      </c>
      <c r="D95" s="24">
        <v>7710</v>
      </c>
      <c r="E95" s="25">
        <v>2610</v>
      </c>
    </row>
    <row r="96" spans="2:5">
      <c r="B96" s="23">
        <v>1455000</v>
      </c>
      <c r="C96" s="24">
        <v>9360</v>
      </c>
      <c r="D96" s="24">
        <v>7860</v>
      </c>
      <c r="E96" s="25">
        <v>2760</v>
      </c>
    </row>
    <row r="97" spans="2:5">
      <c r="B97" s="23">
        <v>1460000</v>
      </c>
      <c r="C97" s="24">
        <v>9520</v>
      </c>
      <c r="D97" s="24">
        <v>8020</v>
      </c>
      <c r="E97" s="25">
        <v>2920</v>
      </c>
    </row>
    <row r="98" spans="2:5">
      <c r="B98" s="23">
        <v>1465000</v>
      </c>
      <c r="C98" s="24">
        <v>9670</v>
      </c>
      <c r="D98" s="24">
        <v>8170</v>
      </c>
      <c r="E98" s="25">
        <v>3070</v>
      </c>
    </row>
    <row r="99" spans="2:5">
      <c r="B99" s="23">
        <v>1470000</v>
      </c>
      <c r="C99" s="24">
        <v>9820</v>
      </c>
      <c r="D99" s="24">
        <v>8320</v>
      </c>
      <c r="E99" s="25">
        <v>3220</v>
      </c>
    </row>
    <row r="100" spans="2:5">
      <c r="B100" s="23">
        <v>1475000</v>
      </c>
      <c r="C100" s="24">
        <v>9980</v>
      </c>
      <c r="D100" s="24">
        <v>8480</v>
      </c>
      <c r="E100" s="25">
        <v>3380</v>
      </c>
    </row>
    <row r="101" spans="2:5">
      <c r="B101" s="23">
        <v>1480000</v>
      </c>
      <c r="C101" s="24">
        <v>10130</v>
      </c>
      <c r="D101" s="24">
        <v>8630</v>
      </c>
      <c r="E101" s="25">
        <v>3530</v>
      </c>
    </row>
    <row r="102" spans="2:5">
      <c r="B102" s="23">
        <v>1485000</v>
      </c>
      <c r="C102" s="24">
        <v>10280</v>
      </c>
      <c r="D102" s="24">
        <v>8780</v>
      </c>
      <c r="E102" s="25">
        <v>3680</v>
      </c>
    </row>
    <row r="103" spans="2:5">
      <c r="B103" s="23">
        <v>1490000</v>
      </c>
      <c r="C103" s="24">
        <v>10430</v>
      </c>
      <c r="D103" s="24">
        <v>8930</v>
      </c>
      <c r="E103" s="25">
        <v>3830</v>
      </c>
    </row>
    <row r="104" spans="2:5">
      <c r="B104" s="23">
        <v>1495000</v>
      </c>
      <c r="C104" s="24">
        <v>10590</v>
      </c>
      <c r="D104" s="24">
        <v>9090</v>
      </c>
      <c r="E104" s="25">
        <v>3990</v>
      </c>
    </row>
    <row r="105" spans="2:5">
      <c r="B105" s="23">
        <v>1500000</v>
      </c>
      <c r="C105" s="24">
        <v>10820</v>
      </c>
      <c r="D105" s="24">
        <v>9320</v>
      </c>
      <c r="E105" s="25">
        <v>4220</v>
      </c>
    </row>
    <row r="106" spans="2:5">
      <c r="B106" s="23">
        <v>1510000</v>
      </c>
      <c r="C106" s="24">
        <v>10980</v>
      </c>
      <c r="D106" s="24">
        <v>9480</v>
      </c>
      <c r="E106" s="25">
        <v>4380</v>
      </c>
    </row>
    <row r="107" spans="2:5">
      <c r="B107" s="23">
        <v>1520000</v>
      </c>
      <c r="C107" s="24">
        <v>11280</v>
      </c>
      <c r="D107" s="24">
        <v>9780</v>
      </c>
      <c r="E107" s="25">
        <v>4680</v>
      </c>
    </row>
    <row r="108" spans="2:5">
      <c r="B108" s="23">
        <v>1530000</v>
      </c>
      <c r="C108" s="24">
        <v>11590</v>
      </c>
      <c r="D108" s="24">
        <v>10090</v>
      </c>
      <c r="E108" s="25">
        <v>4990</v>
      </c>
    </row>
    <row r="109" spans="2:5">
      <c r="B109" s="23">
        <v>1540000</v>
      </c>
      <c r="C109" s="24">
        <v>11890</v>
      </c>
      <c r="D109" s="24">
        <v>10390</v>
      </c>
      <c r="E109" s="25">
        <v>5290</v>
      </c>
    </row>
    <row r="110" spans="2:5">
      <c r="B110" s="23">
        <v>1550000</v>
      </c>
      <c r="C110" s="24">
        <v>12200</v>
      </c>
      <c r="D110" s="24">
        <v>10700</v>
      </c>
      <c r="E110" s="25">
        <v>5600</v>
      </c>
    </row>
    <row r="111" spans="2:5">
      <c r="B111" s="23">
        <v>1560000</v>
      </c>
      <c r="C111" s="24">
        <v>12510</v>
      </c>
      <c r="D111" s="24">
        <v>11010</v>
      </c>
      <c r="E111" s="25">
        <v>5910</v>
      </c>
    </row>
    <row r="112" spans="2:5">
      <c r="B112" s="23">
        <v>1570000</v>
      </c>
      <c r="C112" s="24">
        <v>12810</v>
      </c>
      <c r="D112" s="24">
        <v>11310</v>
      </c>
      <c r="E112" s="25">
        <v>6210</v>
      </c>
    </row>
    <row r="113" spans="2:5">
      <c r="B113" s="23">
        <v>1580000</v>
      </c>
      <c r="C113" s="24">
        <v>13120</v>
      </c>
      <c r="D113" s="24">
        <v>11620</v>
      </c>
      <c r="E113" s="25">
        <v>6520</v>
      </c>
    </row>
    <row r="114" spans="2:5">
      <c r="B114" s="23">
        <v>1590000</v>
      </c>
      <c r="C114" s="24">
        <v>13420</v>
      </c>
      <c r="D114" s="24">
        <v>11920</v>
      </c>
      <c r="E114" s="25">
        <v>6820</v>
      </c>
    </row>
    <row r="115" spans="2:5">
      <c r="B115" s="23">
        <v>1600000</v>
      </c>
      <c r="C115" s="24">
        <v>13730</v>
      </c>
      <c r="D115" s="24">
        <v>12230</v>
      </c>
      <c r="E115" s="25">
        <v>7130</v>
      </c>
    </row>
    <row r="116" spans="2:5">
      <c r="B116" s="23">
        <v>1610000</v>
      </c>
      <c r="C116" s="24">
        <v>13870</v>
      </c>
      <c r="D116" s="24">
        <v>12370</v>
      </c>
      <c r="E116" s="25">
        <v>7270</v>
      </c>
    </row>
    <row r="117" spans="2:5">
      <c r="B117" s="23">
        <v>1620000</v>
      </c>
      <c r="C117" s="24">
        <v>14180</v>
      </c>
      <c r="D117" s="24">
        <v>12680</v>
      </c>
      <c r="E117" s="25">
        <v>7580</v>
      </c>
    </row>
    <row r="118" spans="2:5">
      <c r="B118" s="23">
        <v>1630000</v>
      </c>
      <c r="C118" s="24">
        <v>14490</v>
      </c>
      <c r="D118" s="24">
        <v>12990</v>
      </c>
      <c r="E118" s="25">
        <v>7890</v>
      </c>
    </row>
    <row r="119" spans="2:5">
      <c r="B119" s="23">
        <v>1640000</v>
      </c>
      <c r="C119" s="24">
        <v>14790</v>
      </c>
      <c r="D119" s="24">
        <v>13290</v>
      </c>
      <c r="E119" s="25">
        <v>8190</v>
      </c>
    </row>
    <row r="120" spans="2:5">
      <c r="B120" s="23">
        <v>1650000</v>
      </c>
      <c r="C120" s="24">
        <v>15100</v>
      </c>
      <c r="D120" s="24">
        <v>13600</v>
      </c>
      <c r="E120" s="25">
        <v>8500</v>
      </c>
    </row>
    <row r="121" spans="2:5">
      <c r="B121" s="23">
        <v>1660000</v>
      </c>
      <c r="C121" s="24">
        <v>15400</v>
      </c>
      <c r="D121" s="24">
        <v>13900</v>
      </c>
      <c r="E121" s="25">
        <v>8800</v>
      </c>
    </row>
    <row r="122" spans="2:5">
      <c r="B122" s="23">
        <v>1670000</v>
      </c>
      <c r="C122" s="24">
        <v>15710</v>
      </c>
      <c r="D122" s="24">
        <v>14210</v>
      </c>
      <c r="E122" s="25">
        <v>9110</v>
      </c>
    </row>
    <row r="123" spans="2:5">
      <c r="B123" s="23">
        <v>1680000</v>
      </c>
      <c r="C123" s="24">
        <v>16020</v>
      </c>
      <c r="D123" s="24">
        <v>14520</v>
      </c>
      <c r="E123" s="25">
        <v>9420</v>
      </c>
    </row>
    <row r="124" spans="2:5">
      <c r="B124" s="23">
        <v>1690000</v>
      </c>
      <c r="C124" s="24">
        <v>16320</v>
      </c>
      <c r="D124" s="24">
        <v>14820</v>
      </c>
      <c r="E124" s="25">
        <v>9720</v>
      </c>
    </row>
    <row r="125" spans="2:5">
      <c r="B125" s="23">
        <v>1700000</v>
      </c>
      <c r="C125" s="24">
        <v>16630</v>
      </c>
      <c r="D125" s="24">
        <v>15130</v>
      </c>
      <c r="E125" s="25">
        <v>10030</v>
      </c>
    </row>
    <row r="126" spans="2:5">
      <c r="B126" s="23">
        <v>1710000</v>
      </c>
      <c r="C126" s="24">
        <v>16770</v>
      </c>
      <c r="D126" s="24">
        <v>15270</v>
      </c>
      <c r="E126" s="25">
        <v>10170</v>
      </c>
    </row>
    <row r="127" spans="2:5">
      <c r="B127" s="23">
        <v>1720000</v>
      </c>
      <c r="C127" s="24">
        <v>17080</v>
      </c>
      <c r="D127" s="24">
        <v>15580</v>
      </c>
      <c r="E127" s="25">
        <v>10480</v>
      </c>
    </row>
    <row r="128" spans="2:5">
      <c r="B128" s="23">
        <v>1730000</v>
      </c>
      <c r="C128" s="24">
        <v>17380</v>
      </c>
      <c r="D128" s="24">
        <v>15880</v>
      </c>
      <c r="E128" s="25">
        <v>10780</v>
      </c>
    </row>
    <row r="129" spans="2:5">
      <c r="B129" s="23">
        <v>1740000</v>
      </c>
      <c r="C129" s="24">
        <v>17690</v>
      </c>
      <c r="D129" s="24">
        <v>16190</v>
      </c>
      <c r="E129" s="25">
        <v>11090</v>
      </c>
    </row>
    <row r="130" spans="2:5">
      <c r="B130" s="23">
        <v>1750000</v>
      </c>
      <c r="C130" s="24">
        <v>18000</v>
      </c>
      <c r="D130" s="24">
        <v>16500</v>
      </c>
      <c r="E130" s="25">
        <v>11400</v>
      </c>
    </row>
    <row r="131" spans="2:5">
      <c r="B131" s="23">
        <v>1760000</v>
      </c>
      <c r="C131" s="24">
        <v>18300</v>
      </c>
      <c r="D131" s="24">
        <v>16800</v>
      </c>
      <c r="E131" s="25">
        <v>11700</v>
      </c>
    </row>
    <row r="132" spans="2:5">
      <c r="B132" s="23">
        <v>1770000</v>
      </c>
      <c r="C132" s="24">
        <v>18610</v>
      </c>
      <c r="D132" s="24">
        <v>17110</v>
      </c>
      <c r="E132" s="25">
        <v>12010</v>
      </c>
    </row>
    <row r="133" spans="2:5">
      <c r="B133" s="23">
        <v>1780000</v>
      </c>
      <c r="C133" s="24">
        <v>19010</v>
      </c>
      <c r="D133" s="24">
        <v>17410</v>
      </c>
      <c r="E133" s="25">
        <v>12310</v>
      </c>
    </row>
    <row r="134" spans="2:5">
      <c r="B134" s="23">
        <v>1790000</v>
      </c>
      <c r="C134" s="24">
        <v>19490</v>
      </c>
      <c r="D134" s="24">
        <v>17720</v>
      </c>
      <c r="E134" s="25">
        <v>12620</v>
      </c>
    </row>
    <row r="135" spans="2:5">
      <c r="B135" s="23">
        <v>1800000</v>
      </c>
      <c r="C135" s="24">
        <v>19960</v>
      </c>
      <c r="D135" s="24">
        <v>18030</v>
      </c>
      <c r="E135" s="25">
        <v>12930</v>
      </c>
    </row>
    <row r="136" spans="2:5">
      <c r="B136" s="23">
        <v>1810000</v>
      </c>
      <c r="C136" s="24">
        <v>20190</v>
      </c>
      <c r="D136" s="24">
        <v>18170</v>
      </c>
      <c r="E136" s="25">
        <v>13070</v>
      </c>
    </row>
    <row r="137" spans="2:5">
      <c r="B137" s="23">
        <v>1820000</v>
      </c>
      <c r="C137" s="24">
        <v>20660</v>
      </c>
      <c r="D137" s="24">
        <v>18480</v>
      </c>
      <c r="E137" s="25">
        <v>13380</v>
      </c>
    </row>
    <row r="138" spans="2:5">
      <c r="B138" s="23">
        <v>1830000</v>
      </c>
      <c r="C138" s="24">
        <v>21140</v>
      </c>
      <c r="D138" s="24">
        <v>18800</v>
      </c>
      <c r="E138" s="25">
        <v>13680</v>
      </c>
    </row>
    <row r="139" spans="2:5">
      <c r="B139" s="23">
        <v>1840000</v>
      </c>
      <c r="C139" s="24">
        <v>21610</v>
      </c>
      <c r="D139" s="24">
        <v>19280</v>
      </c>
      <c r="E139" s="25">
        <v>13990</v>
      </c>
    </row>
    <row r="140" spans="2:5">
      <c r="B140" s="23">
        <v>1850000</v>
      </c>
      <c r="C140" s="24">
        <v>22090</v>
      </c>
      <c r="D140" s="24">
        <v>19760</v>
      </c>
      <c r="E140" s="25">
        <v>14290</v>
      </c>
    </row>
    <row r="141" spans="2:5">
      <c r="B141" s="23">
        <v>1860000</v>
      </c>
      <c r="C141" s="24">
        <v>22570</v>
      </c>
      <c r="D141" s="24">
        <v>20230</v>
      </c>
      <c r="E141" s="25">
        <v>14600</v>
      </c>
    </row>
    <row r="142" spans="2:5">
      <c r="B142" s="23">
        <v>1870000</v>
      </c>
      <c r="C142" s="24">
        <v>23040</v>
      </c>
      <c r="D142" s="24">
        <v>20710</v>
      </c>
      <c r="E142" s="25">
        <v>14910</v>
      </c>
    </row>
    <row r="143" spans="2:5">
      <c r="B143" s="23">
        <v>1880000</v>
      </c>
      <c r="C143" s="24">
        <v>23520</v>
      </c>
      <c r="D143" s="24">
        <v>21180</v>
      </c>
      <c r="E143" s="25">
        <v>15210</v>
      </c>
    </row>
    <row r="144" spans="2:5">
      <c r="B144" s="23">
        <v>1890000</v>
      </c>
      <c r="C144" s="24">
        <v>23990</v>
      </c>
      <c r="D144" s="24">
        <v>21660</v>
      </c>
      <c r="E144" s="25">
        <v>15520</v>
      </c>
    </row>
    <row r="145" spans="2:5">
      <c r="B145" s="23">
        <v>1900000</v>
      </c>
      <c r="C145" s="24">
        <v>24470</v>
      </c>
      <c r="D145" s="24">
        <v>22140</v>
      </c>
      <c r="E145" s="25">
        <v>15820</v>
      </c>
    </row>
    <row r="146" spans="2:5">
      <c r="B146" s="23">
        <v>1910000</v>
      </c>
      <c r="C146" s="24">
        <v>24670</v>
      </c>
      <c r="D146" s="24">
        <v>22330</v>
      </c>
      <c r="E146" s="25">
        <v>15950</v>
      </c>
    </row>
    <row r="147" spans="2:5">
      <c r="B147" s="23">
        <v>1920000</v>
      </c>
      <c r="C147" s="24">
        <v>25140</v>
      </c>
      <c r="D147" s="24">
        <v>22810</v>
      </c>
      <c r="E147" s="25">
        <v>16260</v>
      </c>
    </row>
    <row r="148" spans="2:5">
      <c r="B148" s="23">
        <v>1930000</v>
      </c>
      <c r="C148" s="24">
        <v>25620</v>
      </c>
      <c r="D148" s="24">
        <v>23290</v>
      </c>
      <c r="E148" s="25">
        <v>16560</v>
      </c>
    </row>
    <row r="149" spans="2:5">
      <c r="B149" s="23">
        <v>1940000</v>
      </c>
      <c r="C149" s="24">
        <v>26100</v>
      </c>
      <c r="D149" s="24">
        <v>23760</v>
      </c>
      <c r="E149" s="25">
        <v>16870</v>
      </c>
    </row>
    <row r="150" spans="2:5">
      <c r="B150" s="23">
        <v>1950000</v>
      </c>
      <c r="C150" s="24">
        <v>26570</v>
      </c>
      <c r="D150" s="24">
        <v>24240</v>
      </c>
      <c r="E150" s="25">
        <v>17180</v>
      </c>
    </row>
    <row r="151" spans="2:5">
      <c r="B151" s="23">
        <v>1960000</v>
      </c>
      <c r="C151" s="24">
        <v>27050</v>
      </c>
      <c r="D151" s="24">
        <v>24710</v>
      </c>
      <c r="E151" s="25">
        <v>17480</v>
      </c>
    </row>
    <row r="152" spans="2:5">
      <c r="B152" s="23">
        <v>1970000</v>
      </c>
      <c r="C152" s="24">
        <v>27520</v>
      </c>
      <c r="D152" s="24">
        <v>25190</v>
      </c>
      <c r="E152" s="25">
        <v>17790</v>
      </c>
    </row>
    <row r="153" spans="2:5">
      <c r="B153" s="23">
        <v>1980000</v>
      </c>
      <c r="C153" s="24">
        <v>28000</v>
      </c>
      <c r="D153" s="24">
        <v>25670</v>
      </c>
      <c r="E153" s="25">
        <v>18090</v>
      </c>
    </row>
    <row r="154" spans="2:5">
      <c r="B154" s="23">
        <v>1990000</v>
      </c>
      <c r="C154" s="24">
        <v>28480</v>
      </c>
      <c r="D154" s="24">
        <v>26140</v>
      </c>
      <c r="E154" s="25">
        <v>18400</v>
      </c>
    </row>
    <row r="155" spans="2:5">
      <c r="B155" s="23">
        <v>1990000</v>
      </c>
      <c r="C155" s="24">
        <v>17910</v>
      </c>
      <c r="D155" s="24">
        <v>14540</v>
      </c>
      <c r="E155" s="25">
        <v>6400</v>
      </c>
    </row>
    <row r="156" spans="2:5">
      <c r="B156" s="23">
        <v>2000000</v>
      </c>
      <c r="C156" s="24">
        <v>18120</v>
      </c>
      <c r="D156" s="24">
        <v>14750</v>
      </c>
      <c r="E156" s="25">
        <v>6600</v>
      </c>
    </row>
    <row r="157" spans="2:5">
      <c r="B157" s="23">
        <v>2010000</v>
      </c>
      <c r="C157" s="24">
        <v>18330</v>
      </c>
      <c r="D157" s="24">
        <v>14950</v>
      </c>
      <c r="E157" s="25">
        <v>6800</v>
      </c>
    </row>
    <row r="158" spans="2:5">
      <c r="B158" s="23">
        <v>2020000</v>
      </c>
      <c r="C158" s="24">
        <v>18530</v>
      </c>
      <c r="D158" s="24">
        <v>15160</v>
      </c>
      <c r="E158" s="25">
        <v>6990</v>
      </c>
    </row>
    <row r="159" spans="2:5">
      <c r="B159" s="23">
        <v>2030000</v>
      </c>
      <c r="C159" s="24">
        <v>18740</v>
      </c>
      <c r="D159" s="24">
        <v>15370</v>
      </c>
      <c r="E159" s="25">
        <v>7190</v>
      </c>
    </row>
    <row r="160" spans="2:5">
      <c r="B160" s="23">
        <v>2040000</v>
      </c>
      <c r="C160" s="24">
        <v>19060</v>
      </c>
      <c r="D160" s="24">
        <v>15570</v>
      </c>
      <c r="E160" s="25">
        <v>7390</v>
      </c>
    </row>
    <row r="161" spans="2:5">
      <c r="B161" s="23">
        <v>2050000</v>
      </c>
      <c r="C161" s="24">
        <v>19380</v>
      </c>
      <c r="D161" s="24">
        <v>15780</v>
      </c>
      <c r="E161" s="25">
        <v>7590</v>
      </c>
    </row>
    <row r="162" spans="2:5">
      <c r="B162" s="23">
        <v>2060000</v>
      </c>
      <c r="C162" s="24">
        <v>19700</v>
      </c>
      <c r="D162" s="24">
        <v>15990</v>
      </c>
      <c r="E162" s="25">
        <v>7790</v>
      </c>
    </row>
    <row r="163" spans="2:5">
      <c r="B163" s="23">
        <v>2070000</v>
      </c>
      <c r="C163" s="24">
        <v>20020</v>
      </c>
      <c r="D163" s="24">
        <v>16190</v>
      </c>
      <c r="E163" s="25">
        <v>7990</v>
      </c>
    </row>
    <row r="164" spans="2:5">
      <c r="B164" s="23">
        <v>2080000</v>
      </c>
      <c r="C164" s="24">
        <v>20340</v>
      </c>
      <c r="D164" s="24">
        <v>16400</v>
      </c>
      <c r="E164" s="25">
        <v>8180</v>
      </c>
    </row>
    <row r="165" spans="2:5">
      <c r="B165" s="23">
        <v>2090000</v>
      </c>
      <c r="C165" s="24">
        <v>20670</v>
      </c>
      <c r="D165" s="24">
        <v>16600</v>
      </c>
      <c r="E165" s="25">
        <v>8380</v>
      </c>
    </row>
    <row r="166" spans="2:5">
      <c r="B166" s="23">
        <v>2100000</v>
      </c>
      <c r="C166" s="24">
        <v>20990</v>
      </c>
      <c r="D166" s="24">
        <v>16810</v>
      </c>
      <c r="E166" s="25">
        <v>8580</v>
      </c>
    </row>
    <row r="167" spans="2:5">
      <c r="B167" s="23">
        <v>2110000</v>
      </c>
      <c r="C167" s="24">
        <v>21310</v>
      </c>
      <c r="D167" s="24">
        <v>17020</v>
      </c>
      <c r="E167" s="25">
        <v>8780</v>
      </c>
    </row>
    <row r="168" spans="2:5">
      <c r="B168" s="23">
        <v>2120000</v>
      </c>
      <c r="C168" s="24">
        <v>21630</v>
      </c>
      <c r="D168" s="24">
        <v>17220</v>
      </c>
      <c r="E168" s="25">
        <v>8980</v>
      </c>
    </row>
    <row r="169" spans="2:5">
      <c r="B169" s="23">
        <v>2130000</v>
      </c>
      <c r="C169" s="24">
        <v>21950</v>
      </c>
      <c r="D169" s="24">
        <v>17430</v>
      </c>
      <c r="E169" s="25">
        <v>9180</v>
      </c>
    </row>
    <row r="170" spans="2:5">
      <c r="B170" s="23">
        <v>2140000</v>
      </c>
      <c r="C170" s="24">
        <v>22270</v>
      </c>
      <c r="D170" s="24">
        <v>17640</v>
      </c>
      <c r="E170" s="25">
        <v>9380</v>
      </c>
    </row>
    <row r="171" spans="2:5">
      <c r="B171" s="23">
        <v>2150000</v>
      </c>
      <c r="C171" s="24">
        <v>22590</v>
      </c>
      <c r="D171" s="24">
        <v>17840</v>
      </c>
      <c r="E171" s="25">
        <v>9570</v>
      </c>
    </row>
    <row r="172" spans="2:5">
      <c r="B172" s="23">
        <v>2160000</v>
      </c>
      <c r="C172" s="24">
        <v>22910</v>
      </c>
      <c r="D172" s="24">
        <v>18050</v>
      </c>
      <c r="E172" s="25">
        <v>9770</v>
      </c>
    </row>
    <row r="173" spans="2:5">
      <c r="B173" s="23">
        <v>2170000</v>
      </c>
      <c r="C173" s="24">
        <v>23240</v>
      </c>
      <c r="D173" s="24">
        <v>18260</v>
      </c>
      <c r="E173" s="25">
        <v>9970</v>
      </c>
    </row>
    <row r="174" spans="2:5">
      <c r="B174" s="23">
        <v>2180000</v>
      </c>
      <c r="C174" s="24">
        <v>23560</v>
      </c>
      <c r="D174" s="24">
        <v>18460</v>
      </c>
      <c r="E174" s="25">
        <v>10170</v>
      </c>
    </row>
    <row r="175" spans="2:5">
      <c r="B175" s="23">
        <v>2190000</v>
      </c>
      <c r="C175" s="24">
        <v>23880</v>
      </c>
      <c r="D175" s="24">
        <v>18670</v>
      </c>
      <c r="E175" s="25">
        <v>10370</v>
      </c>
    </row>
    <row r="176" spans="2:5">
      <c r="B176" s="23">
        <v>2200000</v>
      </c>
      <c r="C176" s="24">
        <v>24200</v>
      </c>
      <c r="D176" s="24">
        <v>18950</v>
      </c>
      <c r="E176" s="25">
        <v>10570</v>
      </c>
    </row>
    <row r="177" spans="2:5">
      <c r="B177" s="23">
        <v>2210000</v>
      </c>
      <c r="C177" s="24">
        <v>24520</v>
      </c>
      <c r="D177" s="24">
        <v>19270</v>
      </c>
      <c r="E177" s="25">
        <v>10760</v>
      </c>
    </row>
    <row r="178" spans="2:5">
      <c r="B178" s="23">
        <v>2220000</v>
      </c>
      <c r="C178" s="24">
        <v>24840</v>
      </c>
      <c r="D178" s="24">
        <v>19590</v>
      </c>
      <c r="E178" s="25">
        <v>10960</v>
      </c>
    </row>
    <row r="179" spans="2:5">
      <c r="B179" s="23">
        <v>2230000</v>
      </c>
      <c r="C179" s="24">
        <v>25160</v>
      </c>
      <c r="D179" s="24">
        <v>19910</v>
      </c>
      <c r="E179" s="25">
        <v>11160</v>
      </c>
    </row>
    <row r="180" spans="2:5">
      <c r="B180" s="23">
        <v>2240000</v>
      </c>
      <c r="C180" s="24">
        <v>25490</v>
      </c>
      <c r="D180" s="24">
        <v>20240</v>
      </c>
      <c r="E180" s="25">
        <v>11360</v>
      </c>
    </row>
    <row r="181" spans="2:5">
      <c r="B181" s="23">
        <v>2250000</v>
      </c>
      <c r="C181" s="24">
        <v>25810</v>
      </c>
      <c r="D181" s="24">
        <v>20560</v>
      </c>
      <c r="E181" s="25">
        <v>11560</v>
      </c>
    </row>
    <row r="182" spans="2:5">
      <c r="B182" s="23">
        <v>2260000</v>
      </c>
      <c r="C182" s="24">
        <v>26130</v>
      </c>
      <c r="D182" s="24">
        <v>20880</v>
      </c>
      <c r="E182" s="25">
        <v>11760</v>
      </c>
    </row>
    <row r="183" spans="2:5">
      <c r="B183" s="23">
        <v>2270000</v>
      </c>
      <c r="C183" s="24">
        <v>26450</v>
      </c>
      <c r="D183" s="24">
        <v>21200</v>
      </c>
      <c r="E183" s="25">
        <v>11960</v>
      </c>
    </row>
    <row r="184" spans="2:5">
      <c r="B184" s="23">
        <v>2280000</v>
      </c>
      <c r="C184" s="24">
        <v>26770</v>
      </c>
      <c r="D184" s="24">
        <v>21520</v>
      </c>
      <c r="E184" s="25">
        <v>12150</v>
      </c>
    </row>
    <row r="185" spans="2:5">
      <c r="B185" s="23">
        <v>2290000</v>
      </c>
      <c r="C185" s="24">
        <v>27090</v>
      </c>
      <c r="D185" s="24">
        <v>21840</v>
      </c>
      <c r="E185" s="25">
        <v>12350</v>
      </c>
    </row>
    <row r="186" spans="2:5">
      <c r="B186" s="23">
        <v>2300000</v>
      </c>
      <c r="C186" s="24">
        <v>27410</v>
      </c>
      <c r="D186" s="24">
        <v>22160</v>
      </c>
      <c r="E186" s="25">
        <v>12550</v>
      </c>
    </row>
    <row r="187" spans="2:5">
      <c r="B187" s="23">
        <v>2310000</v>
      </c>
      <c r="C187" s="24">
        <v>27730</v>
      </c>
      <c r="D187" s="24">
        <v>22480</v>
      </c>
      <c r="E187" s="25">
        <v>12750</v>
      </c>
    </row>
    <row r="188" spans="2:5">
      <c r="B188" s="23">
        <v>2320000</v>
      </c>
      <c r="C188" s="24">
        <v>28060</v>
      </c>
      <c r="D188" s="24">
        <v>22810</v>
      </c>
      <c r="E188" s="25">
        <v>12950</v>
      </c>
    </row>
    <row r="189" spans="2:5">
      <c r="B189" s="23">
        <v>2330000</v>
      </c>
      <c r="C189" s="24">
        <v>28380</v>
      </c>
      <c r="D189" s="24">
        <v>23130</v>
      </c>
      <c r="E189" s="25">
        <v>13150</v>
      </c>
    </row>
    <row r="190" spans="2:5">
      <c r="B190" s="23">
        <v>2340000</v>
      </c>
      <c r="C190" s="24">
        <v>28700</v>
      </c>
      <c r="D190" s="24">
        <v>23450</v>
      </c>
      <c r="E190" s="25">
        <v>13340</v>
      </c>
    </row>
    <row r="191" spans="2:5">
      <c r="B191" s="23">
        <v>2350000</v>
      </c>
      <c r="C191" s="24">
        <v>29020</v>
      </c>
      <c r="D191" s="24">
        <v>23770</v>
      </c>
      <c r="E191" s="25">
        <v>13540</v>
      </c>
    </row>
    <row r="192" spans="2:5">
      <c r="B192" s="23">
        <v>2360000</v>
      </c>
      <c r="C192" s="24">
        <v>29340</v>
      </c>
      <c r="D192" s="24">
        <v>24090</v>
      </c>
      <c r="E192" s="25">
        <v>13740</v>
      </c>
    </row>
    <row r="193" spans="2:5">
      <c r="B193" s="23">
        <v>2370000</v>
      </c>
      <c r="C193" s="24">
        <v>29660</v>
      </c>
      <c r="D193" s="24">
        <v>24410</v>
      </c>
      <c r="E193" s="25">
        <v>13940</v>
      </c>
    </row>
    <row r="194" spans="2:5">
      <c r="B194" s="23">
        <v>2380000</v>
      </c>
      <c r="C194" s="24">
        <v>29980</v>
      </c>
      <c r="D194" s="24">
        <v>24730</v>
      </c>
      <c r="E194" s="25">
        <v>14140</v>
      </c>
    </row>
    <row r="195" spans="2:5">
      <c r="B195" s="23">
        <v>2390000</v>
      </c>
      <c r="C195" s="24">
        <v>30300</v>
      </c>
      <c r="D195" s="24">
        <v>25050</v>
      </c>
      <c r="E195" s="25">
        <v>14340</v>
      </c>
    </row>
    <row r="196" spans="2:5">
      <c r="B196" s="23">
        <v>2400000</v>
      </c>
      <c r="C196" s="24">
        <v>30630</v>
      </c>
      <c r="D196" s="24">
        <v>25380</v>
      </c>
      <c r="E196" s="25">
        <v>14530</v>
      </c>
    </row>
    <row r="197" spans="2:5">
      <c r="B197" s="23">
        <v>2410000</v>
      </c>
      <c r="C197" s="24">
        <v>30950</v>
      </c>
      <c r="D197" s="24">
        <v>25700</v>
      </c>
      <c r="E197" s="25">
        <v>14730</v>
      </c>
    </row>
    <row r="198" spans="2:5">
      <c r="B198" s="23">
        <v>2420000</v>
      </c>
      <c r="C198" s="24">
        <v>31270</v>
      </c>
      <c r="D198" s="24">
        <v>26020</v>
      </c>
      <c r="E198" s="25">
        <v>14930</v>
      </c>
    </row>
    <row r="199" spans="2:5">
      <c r="B199" s="23">
        <v>2430000</v>
      </c>
      <c r="C199" s="24">
        <v>31610</v>
      </c>
      <c r="D199" s="24">
        <v>26340</v>
      </c>
      <c r="E199" s="25">
        <v>15130</v>
      </c>
    </row>
    <row r="200" spans="2:5">
      <c r="B200" s="23">
        <v>2440000</v>
      </c>
      <c r="C200" s="24">
        <v>32410</v>
      </c>
      <c r="D200" s="24">
        <v>26660</v>
      </c>
      <c r="E200" s="25">
        <v>15330</v>
      </c>
    </row>
    <row r="201" spans="2:5">
      <c r="B201" s="23">
        <v>2450000</v>
      </c>
      <c r="C201" s="24">
        <v>33210</v>
      </c>
      <c r="D201" s="24">
        <v>26980</v>
      </c>
      <c r="E201" s="25">
        <v>15530</v>
      </c>
    </row>
    <row r="202" spans="2:5">
      <c r="B202" s="23">
        <v>2460000</v>
      </c>
      <c r="C202" s="24">
        <v>34020</v>
      </c>
      <c r="D202" s="24">
        <v>27300</v>
      </c>
      <c r="E202" s="25">
        <v>15730</v>
      </c>
    </row>
    <row r="203" spans="2:5">
      <c r="B203" s="23">
        <v>2470000</v>
      </c>
      <c r="C203" s="24">
        <v>34820</v>
      </c>
      <c r="D203" s="24">
        <v>27630</v>
      </c>
      <c r="E203" s="25">
        <v>15920</v>
      </c>
    </row>
    <row r="204" spans="2:5">
      <c r="B204" s="23">
        <v>2480000</v>
      </c>
      <c r="C204" s="24">
        <v>35620</v>
      </c>
      <c r="D204" s="24">
        <v>27950</v>
      </c>
      <c r="E204" s="25">
        <v>16120</v>
      </c>
    </row>
    <row r="205" spans="2:5">
      <c r="B205" s="23">
        <v>2490000</v>
      </c>
      <c r="C205" s="24">
        <v>36430</v>
      </c>
      <c r="D205" s="24">
        <v>28270</v>
      </c>
      <c r="E205" s="25">
        <v>16320</v>
      </c>
    </row>
    <row r="206" spans="2:5">
      <c r="B206" s="23">
        <v>2500000</v>
      </c>
      <c r="C206" s="24">
        <v>37260</v>
      </c>
      <c r="D206" s="24">
        <v>28600</v>
      </c>
      <c r="E206" s="25">
        <v>16530</v>
      </c>
    </row>
    <row r="207" spans="2:5">
      <c r="B207" s="23">
        <v>2510000</v>
      </c>
      <c r="C207" s="24">
        <v>38110</v>
      </c>
      <c r="D207" s="24">
        <v>28940</v>
      </c>
      <c r="E207" s="25">
        <v>16740</v>
      </c>
    </row>
    <row r="208" spans="2:5">
      <c r="B208" s="23">
        <v>2520000</v>
      </c>
      <c r="C208" s="24">
        <v>38970</v>
      </c>
      <c r="D208" s="24">
        <v>29280</v>
      </c>
      <c r="E208" s="25">
        <v>16950</v>
      </c>
    </row>
    <row r="209" spans="2:5">
      <c r="B209" s="23">
        <v>2530000</v>
      </c>
      <c r="C209" s="24">
        <v>39820</v>
      </c>
      <c r="D209" s="24">
        <v>29630</v>
      </c>
      <c r="E209" s="25">
        <v>17160</v>
      </c>
    </row>
    <row r="210" spans="2:5">
      <c r="B210" s="23">
        <v>2540000</v>
      </c>
      <c r="C210" s="24">
        <v>40680</v>
      </c>
      <c r="D210" s="24">
        <v>29970</v>
      </c>
      <c r="E210" s="25">
        <v>17370</v>
      </c>
    </row>
    <row r="211" spans="2:5">
      <c r="B211" s="23">
        <v>2550000</v>
      </c>
      <c r="C211" s="24">
        <v>41540</v>
      </c>
      <c r="D211" s="24">
        <v>30310</v>
      </c>
      <c r="E211" s="25">
        <v>17590</v>
      </c>
    </row>
    <row r="212" spans="2:5">
      <c r="B212" s="23">
        <v>2560000</v>
      </c>
      <c r="C212" s="24">
        <v>42390</v>
      </c>
      <c r="D212" s="24">
        <v>30650</v>
      </c>
      <c r="E212" s="25">
        <v>17800</v>
      </c>
    </row>
    <row r="213" spans="2:5">
      <c r="B213" s="23">
        <v>2570000</v>
      </c>
      <c r="C213" s="24">
        <v>43250</v>
      </c>
      <c r="D213" s="24">
        <v>31000</v>
      </c>
      <c r="E213" s="25">
        <v>18010</v>
      </c>
    </row>
    <row r="214" spans="2:5">
      <c r="B214" s="23">
        <v>2580000</v>
      </c>
      <c r="C214" s="24">
        <v>44100</v>
      </c>
      <c r="D214" s="24">
        <v>31340</v>
      </c>
      <c r="E214" s="25">
        <v>18220</v>
      </c>
    </row>
    <row r="215" spans="2:5">
      <c r="B215" s="23">
        <v>2590000</v>
      </c>
      <c r="C215" s="24">
        <v>44960</v>
      </c>
      <c r="D215" s="24">
        <v>31830</v>
      </c>
      <c r="E215" s="25">
        <v>18430</v>
      </c>
    </row>
    <row r="216" spans="2:5">
      <c r="B216" s="23">
        <v>2600000</v>
      </c>
      <c r="C216" s="24">
        <v>45810</v>
      </c>
      <c r="D216" s="24">
        <v>32690</v>
      </c>
      <c r="E216" s="25">
        <v>18650</v>
      </c>
    </row>
    <row r="217" spans="2:5">
      <c r="B217" s="23">
        <v>2610000</v>
      </c>
      <c r="C217" s="24">
        <v>46670</v>
      </c>
      <c r="D217" s="24">
        <v>33540</v>
      </c>
      <c r="E217" s="25">
        <v>18920</v>
      </c>
    </row>
    <row r="218" spans="2:5">
      <c r="B218" s="23">
        <v>2620000</v>
      </c>
      <c r="C218" s="24">
        <v>47530</v>
      </c>
      <c r="D218" s="24">
        <v>34400</v>
      </c>
      <c r="E218" s="25">
        <v>19250</v>
      </c>
    </row>
    <row r="219" spans="2:5">
      <c r="B219" s="23">
        <v>2630000</v>
      </c>
      <c r="C219" s="24">
        <v>48380</v>
      </c>
      <c r="D219" s="24">
        <v>35260</v>
      </c>
      <c r="E219" s="25">
        <v>19580</v>
      </c>
    </row>
    <row r="220" spans="2:5">
      <c r="B220" s="23">
        <v>2640000</v>
      </c>
      <c r="C220" s="24">
        <v>49240</v>
      </c>
      <c r="D220" s="24">
        <v>36110</v>
      </c>
      <c r="E220" s="25">
        <v>19910</v>
      </c>
    </row>
    <row r="221" spans="2:5">
      <c r="B221" s="23">
        <v>2650000</v>
      </c>
      <c r="C221" s="24">
        <v>50090</v>
      </c>
      <c r="D221" s="24">
        <v>36970</v>
      </c>
      <c r="E221" s="25">
        <v>20240</v>
      </c>
    </row>
    <row r="222" spans="2:5">
      <c r="B222" s="23">
        <v>2660000</v>
      </c>
      <c r="C222" s="24">
        <v>50950</v>
      </c>
      <c r="D222" s="24">
        <v>37820</v>
      </c>
      <c r="E222" s="25">
        <v>20570</v>
      </c>
    </row>
    <row r="223" spans="2:5">
      <c r="B223" s="23">
        <v>2670000</v>
      </c>
      <c r="C223" s="24">
        <v>51800</v>
      </c>
      <c r="D223" s="24">
        <v>38680</v>
      </c>
      <c r="E223" s="25">
        <v>20900</v>
      </c>
    </row>
    <row r="224" spans="2:5">
      <c r="B224" s="23">
        <v>2680000</v>
      </c>
      <c r="C224" s="24">
        <v>52660</v>
      </c>
      <c r="D224" s="24">
        <v>39540</v>
      </c>
      <c r="E224" s="25">
        <v>21230</v>
      </c>
    </row>
    <row r="225" spans="2:5">
      <c r="B225" s="23">
        <v>2690000</v>
      </c>
      <c r="C225" s="24">
        <v>53520</v>
      </c>
      <c r="D225" s="24">
        <v>40390</v>
      </c>
      <c r="E225" s="25">
        <v>21560</v>
      </c>
    </row>
    <row r="226" spans="2:5">
      <c r="B226" s="23">
        <v>2700000</v>
      </c>
      <c r="C226" s="24">
        <v>54370</v>
      </c>
      <c r="D226" s="24">
        <v>41250</v>
      </c>
      <c r="E226" s="25">
        <v>21890</v>
      </c>
    </row>
    <row r="227" spans="2:5">
      <c r="B227" s="23">
        <v>2710000</v>
      </c>
      <c r="C227" s="24">
        <v>55230</v>
      </c>
      <c r="D227" s="24">
        <v>42100</v>
      </c>
      <c r="E227" s="25">
        <v>22220</v>
      </c>
    </row>
    <row r="228" spans="2:5">
      <c r="B228" s="23">
        <v>2720000</v>
      </c>
      <c r="C228" s="24">
        <v>56080</v>
      </c>
      <c r="D228" s="24">
        <v>42960</v>
      </c>
      <c r="E228" s="25">
        <v>22550</v>
      </c>
    </row>
    <row r="229" spans="2:5">
      <c r="B229" s="23">
        <v>2730000</v>
      </c>
      <c r="C229" s="24">
        <v>56940</v>
      </c>
      <c r="D229" s="24">
        <v>43810</v>
      </c>
      <c r="E229" s="25">
        <v>22880</v>
      </c>
    </row>
    <row r="230" spans="2:5">
      <c r="B230" s="23">
        <v>2740000</v>
      </c>
      <c r="C230" s="24">
        <v>57790</v>
      </c>
      <c r="D230" s="24">
        <v>44670</v>
      </c>
      <c r="E230" s="25">
        <v>23210</v>
      </c>
    </row>
    <row r="231" spans="2:5">
      <c r="B231" s="23">
        <v>2750000</v>
      </c>
      <c r="C231" s="24">
        <v>58650</v>
      </c>
      <c r="D231" s="24">
        <v>45530</v>
      </c>
      <c r="E231" s="25">
        <v>23540</v>
      </c>
    </row>
    <row r="232" spans="2:5">
      <c r="B232" s="23">
        <v>2760000</v>
      </c>
      <c r="C232" s="24">
        <v>59510</v>
      </c>
      <c r="D232" s="24">
        <v>46380</v>
      </c>
      <c r="E232" s="25">
        <v>23870</v>
      </c>
    </row>
    <row r="233" spans="2:5">
      <c r="B233" s="23">
        <v>2770000</v>
      </c>
      <c r="C233" s="24">
        <v>60360</v>
      </c>
      <c r="D233" s="24">
        <v>47240</v>
      </c>
      <c r="E233" s="25">
        <v>24200</v>
      </c>
    </row>
    <row r="234" spans="2:5">
      <c r="B234" s="23">
        <v>2780000</v>
      </c>
      <c r="C234" s="24">
        <v>61220</v>
      </c>
      <c r="D234" s="24">
        <v>48090</v>
      </c>
      <c r="E234" s="25">
        <v>24520</v>
      </c>
    </row>
    <row r="235" spans="2:5">
      <c r="B235" s="23">
        <v>2790000</v>
      </c>
      <c r="C235" s="24">
        <v>62070</v>
      </c>
      <c r="D235" s="24">
        <v>48950</v>
      </c>
      <c r="E235" s="25">
        <v>24850</v>
      </c>
    </row>
    <row r="236" spans="2:5">
      <c r="B236" s="23">
        <v>2800000</v>
      </c>
      <c r="C236" s="24">
        <v>63120</v>
      </c>
      <c r="D236" s="24">
        <v>49800</v>
      </c>
      <c r="E236" s="25">
        <v>25180</v>
      </c>
    </row>
    <row r="237" spans="2:5">
      <c r="B237" s="23">
        <v>2810000</v>
      </c>
      <c r="C237" s="24">
        <v>64340</v>
      </c>
      <c r="D237" s="24">
        <v>50660</v>
      </c>
      <c r="E237" s="25">
        <v>25510</v>
      </c>
    </row>
    <row r="238" spans="2:5">
      <c r="B238" s="23">
        <v>2820000</v>
      </c>
      <c r="C238" s="24">
        <v>65560</v>
      </c>
      <c r="D238" s="24">
        <v>51520</v>
      </c>
      <c r="E238" s="25">
        <v>25840</v>
      </c>
    </row>
    <row r="239" spans="2:5">
      <c r="B239" s="23">
        <v>2830000</v>
      </c>
      <c r="C239" s="24">
        <v>66780</v>
      </c>
      <c r="D239" s="24">
        <v>52370</v>
      </c>
      <c r="E239" s="25">
        <v>26170</v>
      </c>
    </row>
    <row r="240" spans="2:5">
      <c r="B240" s="23">
        <v>2840000</v>
      </c>
      <c r="C240" s="24">
        <v>68010</v>
      </c>
      <c r="D240" s="24">
        <v>53230</v>
      </c>
      <c r="E240" s="25">
        <v>26500</v>
      </c>
    </row>
    <row r="241" spans="2:5">
      <c r="B241" s="23">
        <v>2850000</v>
      </c>
      <c r="C241" s="24">
        <v>69230</v>
      </c>
      <c r="D241" s="24">
        <v>54080</v>
      </c>
      <c r="E241" s="25">
        <v>26830</v>
      </c>
    </row>
    <row r="242" spans="2:5">
      <c r="B242" s="23">
        <v>2860000</v>
      </c>
      <c r="C242" s="24">
        <v>70450</v>
      </c>
      <c r="D242" s="24">
        <v>54940</v>
      </c>
      <c r="E242" s="25">
        <v>27160</v>
      </c>
    </row>
    <row r="243" spans="2:5">
      <c r="B243" s="23">
        <v>2870000</v>
      </c>
      <c r="C243" s="24">
        <v>71670</v>
      </c>
      <c r="D243" s="24">
        <v>55790</v>
      </c>
      <c r="E243" s="25">
        <v>27490</v>
      </c>
    </row>
    <row r="244" spans="2:5">
      <c r="B244" s="23">
        <v>2880000</v>
      </c>
      <c r="C244" s="24">
        <v>72900</v>
      </c>
      <c r="D244" s="24">
        <v>56650</v>
      </c>
      <c r="E244" s="25">
        <v>27820</v>
      </c>
    </row>
    <row r="245" spans="2:5">
      <c r="B245" s="23">
        <v>2890000</v>
      </c>
      <c r="C245" s="24">
        <v>74120</v>
      </c>
      <c r="D245" s="24">
        <v>57510</v>
      </c>
      <c r="E245" s="25">
        <v>28150</v>
      </c>
    </row>
    <row r="246" spans="2:5">
      <c r="B246" s="23">
        <v>2900000</v>
      </c>
      <c r="C246" s="24">
        <v>75340</v>
      </c>
      <c r="D246" s="24">
        <v>58360</v>
      </c>
      <c r="E246" s="25">
        <v>28480</v>
      </c>
    </row>
    <row r="247" spans="2:5">
      <c r="B247" s="23">
        <v>2910000</v>
      </c>
      <c r="C247" s="24">
        <v>76560</v>
      </c>
      <c r="D247" s="24">
        <v>59220</v>
      </c>
      <c r="E247" s="25">
        <v>28810</v>
      </c>
    </row>
    <row r="248" spans="2:5">
      <c r="B248" s="23">
        <v>2920000</v>
      </c>
      <c r="C248" s="24">
        <v>77790</v>
      </c>
      <c r="D248" s="24">
        <v>60070</v>
      </c>
      <c r="E248" s="25">
        <v>29140</v>
      </c>
    </row>
    <row r="249" spans="2:5">
      <c r="B249" s="23">
        <v>2930000</v>
      </c>
      <c r="C249" s="24">
        <v>79010</v>
      </c>
      <c r="D249" s="24">
        <v>60930</v>
      </c>
      <c r="E249" s="25">
        <v>29470</v>
      </c>
    </row>
    <row r="250" spans="2:5">
      <c r="B250" s="23">
        <v>2940000</v>
      </c>
      <c r="C250" s="24">
        <v>80230</v>
      </c>
      <c r="D250" s="24">
        <v>61780</v>
      </c>
      <c r="E250" s="25">
        <v>29800</v>
      </c>
    </row>
    <row r="251" spans="2:5">
      <c r="B251" s="23">
        <v>2950000</v>
      </c>
      <c r="C251" s="24">
        <v>81450</v>
      </c>
      <c r="D251" s="24">
        <v>62700</v>
      </c>
      <c r="E251" s="25">
        <v>30130</v>
      </c>
    </row>
    <row r="252" spans="2:5">
      <c r="B252" s="23">
        <v>2960000</v>
      </c>
      <c r="C252" s="24">
        <v>82680</v>
      </c>
      <c r="D252" s="24">
        <v>63930</v>
      </c>
      <c r="E252" s="25">
        <v>30460</v>
      </c>
    </row>
    <row r="253" spans="2:5">
      <c r="B253" s="23">
        <v>2970000</v>
      </c>
      <c r="C253" s="24">
        <v>83900</v>
      </c>
      <c r="D253" s="24">
        <v>65150</v>
      </c>
      <c r="E253" s="25">
        <v>30790</v>
      </c>
    </row>
    <row r="254" spans="2:5">
      <c r="B254" s="23">
        <v>2980000</v>
      </c>
      <c r="C254" s="24">
        <v>85120</v>
      </c>
      <c r="D254" s="24">
        <v>66370</v>
      </c>
      <c r="E254" s="25">
        <v>31120</v>
      </c>
    </row>
    <row r="255" spans="2:5">
      <c r="B255" s="23">
        <v>2990000</v>
      </c>
      <c r="C255" s="24">
        <v>86340</v>
      </c>
      <c r="D255" s="24">
        <v>67590</v>
      </c>
      <c r="E255" s="25">
        <v>31450</v>
      </c>
    </row>
    <row r="256" spans="2:5">
      <c r="B256" s="23">
        <v>3000000</v>
      </c>
      <c r="C256" s="24">
        <v>88180</v>
      </c>
      <c r="D256" s="24">
        <v>69430</v>
      </c>
      <c r="E256" s="25">
        <v>32490</v>
      </c>
    </row>
    <row r="257" spans="2:5">
      <c r="B257" s="23">
        <v>3020000</v>
      </c>
      <c r="C257" s="24">
        <v>90620</v>
      </c>
      <c r="D257" s="24">
        <v>71870</v>
      </c>
      <c r="E257" s="25">
        <v>34140</v>
      </c>
    </row>
    <row r="258" spans="2:5">
      <c r="B258" s="23">
        <v>3040000</v>
      </c>
      <c r="C258" s="24">
        <v>93070</v>
      </c>
      <c r="D258" s="24">
        <v>74320</v>
      </c>
      <c r="E258" s="25">
        <v>35790</v>
      </c>
    </row>
    <row r="259" spans="2:5">
      <c r="B259" s="23">
        <v>3060000</v>
      </c>
      <c r="C259" s="24">
        <v>95510</v>
      </c>
      <c r="D259" s="24">
        <v>76760</v>
      </c>
      <c r="E259" s="25">
        <v>37440</v>
      </c>
    </row>
    <row r="260" spans="2:5">
      <c r="B260" s="23">
        <v>3080000</v>
      </c>
      <c r="C260" s="24">
        <v>97960</v>
      </c>
      <c r="D260" s="24">
        <v>79210</v>
      </c>
      <c r="E260" s="25">
        <v>39080</v>
      </c>
    </row>
    <row r="261" spans="2:5">
      <c r="B261" s="23">
        <v>3100000</v>
      </c>
      <c r="C261" s="24">
        <v>100400</v>
      </c>
      <c r="D261" s="24">
        <v>81650</v>
      </c>
      <c r="E261" s="25">
        <v>40730</v>
      </c>
    </row>
    <row r="262" spans="2:5">
      <c r="B262" s="23">
        <v>3120000</v>
      </c>
      <c r="C262" s="24">
        <v>102850</v>
      </c>
      <c r="D262" s="24">
        <v>84100</v>
      </c>
      <c r="E262" s="25">
        <v>42380</v>
      </c>
    </row>
    <row r="263" spans="2:5">
      <c r="B263" s="23">
        <v>3140000</v>
      </c>
      <c r="C263" s="24">
        <v>105290</v>
      </c>
      <c r="D263" s="24">
        <v>86540</v>
      </c>
      <c r="E263" s="25">
        <v>44030</v>
      </c>
    </row>
    <row r="264" spans="2:5">
      <c r="B264" s="23">
        <v>3160000</v>
      </c>
      <c r="C264" s="24">
        <v>107740</v>
      </c>
      <c r="D264" s="24">
        <v>88990</v>
      </c>
      <c r="E264" s="25">
        <v>45680</v>
      </c>
    </row>
    <row r="265" spans="2:5">
      <c r="B265" s="23">
        <v>3180000</v>
      </c>
      <c r="C265" s="24">
        <v>110180</v>
      </c>
      <c r="D265" s="24">
        <v>91430</v>
      </c>
      <c r="E265" s="25">
        <v>47330</v>
      </c>
    </row>
    <row r="266" spans="2:5">
      <c r="B266" s="23">
        <v>3200000</v>
      </c>
      <c r="C266" s="24">
        <v>112630</v>
      </c>
      <c r="D266" s="24">
        <v>93880</v>
      </c>
      <c r="E266" s="25">
        <v>48980</v>
      </c>
    </row>
    <row r="267" spans="2:5">
      <c r="B267" s="23">
        <v>3220000</v>
      </c>
      <c r="C267" s="24">
        <v>115070</v>
      </c>
      <c r="D267" s="24">
        <v>96320</v>
      </c>
      <c r="E267" s="25">
        <v>50620</v>
      </c>
    </row>
    <row r="268" spans="2:5">
      <c r="B268" s="23">
        <v>3240000</v>
      </c>
      <c r="C268" s="24">
        <v>117520</v>
      </c>
      <c r="D268" s="24">
        <v>98770</v>
      </c>
      <c r="E268" s="25">
        <v>52270</v>
      </c>
    </row>
    <row r="269" spans="2:5">
      <c r="B269" s="23">
        <v>3260000</v>
      </c>
      <c r="C269" s="24">
        <v>119960</v>
      </c>
      <c r="D269" s="24">
        <v>101210</v>
      </c>
      <c r="E269" s="25">
        <v>53920</v>
      </c>
    </row>
    <row r="270" spans="2:5">
      <c r="B270" s="23">
        <v>3280000</v>
      </c>
      <c r="C270" s="24">
        <v>122410</v>
      </c>
      <c r="D270" s="24">
        <v>103660</v>
      </c>
      <c r="E270" s="25">
        <v>55570</v>
      </c>
    </row>
    <row r="271" spans="2:5">
      <c r="B271" s="23">
        <v>3300000</v>
      </c>
      <c r="C271" s="24">
        <v>124850</v>
      </c>
      <c r="D271" s="24">
        <v>106100</v>
      </c>
      <c r="E271" s="25">
        <v>57220</v>
      </c>
    </row>
    <row r="272" spans="2:5">
      <c r="B272" s="23">
        <v>3320000</v>
      </c>
      <c r="C272" s="24">
        <v>127300</v>
      </c>
      <c r="D272" s="24">
        <v>108550</v>
      </c>
      <c r="E272" s="25">
        <v>58870</v>
      </c>
    </row>
    <row r="273" spans="2:5">
      <c r="B273" s="23">
        <v>3340000</v>
      </c>
      <c r="C273" s="24">
        <v>129740</v>
      </c>
      <c r="D273" s="24">
        <v>110990</v>
      </c>
      <c r="E273" s="25">
        <v>60430</v>
      </c>
    </row>
    <row r="274" spans="2:5">
      <c r="B274" s="23">
        <v>3360000</v>
      </c>
      <c r="C274" s="24">
        <v>132190</v>
      </c>
      <c r="D274" s="24">
        <v>113440</v>
      </c>
      <c r="E274" s="25">
        <v>61970</v>
      </c>
    </row>
    <row r="275" spans="2:5">
      <c r="B275" s="23">
        <v>3380000</v>
      </c>
      <c r="C275" s="24">
        <v>134630</v>
      </c>
      <c r="D275" s="24">
        <v>115880</v>
      </c>
      <c r="E275" s="25">
        <v>63950</v>
      </c>
    </row>
    <row r="276" spans="2:5">
      <c r="B276" s="23">
        <v>3400000</v>
      </c>
      <c r="C276" s="24">
        <v>137080</v>
      </c>
      <c r="D276" s="24">
        <v>118330</v>
      </c>
      <c r="E276" s="25">
        <v>66160</v>
      </c>
    </row>
    <row r="277" spans="2:5">
      <c r="B277" s="23">
        <v>3420000</v>
      </c>
      <c r="C277" s="24">
        <v>139520</v>
      </c>
      <c r="D277" s="24">
        <v>120770</v>
      </c>
      <c r="E277" s="25">
        <v>68360</v>
      </c>
    </row>
    <row r="278" spans="2:5">
      <c r="B278" s="23">
        <v>3440000</v>
      </c>
      <c r="C278" s="24">
        <v>141970</v>
      </c>
      <c r="D278" s="24">
        <v>123220</v>
      </c>
      <c r="E278" s="25">
        <v>70570</v>
      </c>
    </row>
    <row r="279" spans="2:5">
      <c r="B279" s="23">
        <v>3460000</v>
      </c>
      <c r="C279" s="24">
        <v>144410</v>
      </c>
      <c r="D279" s="24">
        <v>125660</v>
      </c>
      <c r="E279" s="25">
        <v>72770</v>
      </c>
    </row>
    <row r="280" spans="2:5">
      <c r="B280" s="23">
        <v>3480000</v>
      </c>
      <c r="C280" s="24">
        <v>146860</v>
      </c>
      <c r="D280" s="24">
        <v>128110</v>
      </c>
      <c r="E280" s="25">
        <v>74980</v>
      </c>
    </row>
    <row r="281" spans="2:5">
      <c r="B281" s="23">
        <v>3500000</v>
      </c>
      <c r="C281" s="24">
        <v>149300</v>
      </c>
      <c r="D281" s="24">
        <v>130550</v>
      </c>
      <c r="E281" s="25">
        <v>77180</v>
      </c>
    </row>
    <row r="282" spans="2:5">
      <c r="B282" s="23">
        <v>3520000</v>
      </c>
      <c r="C282" s="24">
        <v>151750</v>
      </c>
      <c r="D282" s="24">
        <v>133000</v>
      </c>
      <c r="E282" s="25">
        <v>79390</v>
      </c>
    </row>
    <row r="283" spans="2:5">
      <c r="B283" s="23">
        <v>3540000</v>
      </c>
      <c r="C283" s="24">
        <v>154190</v>
      </c>
      <c r="D283" s="24">
        <v>135440</v>
      </c>
      <c r="E283" s="25">
        <v>81590</v>
      </c>
    </row>
    <row r="284" spans="2:5">
      <c r="B284" s="23">
        <v>3560000</v>
      </c>
      <c r="C284" s="24">
        <v>156640</v>
      </c>
      <c r="D284" s="24">
        <v>137890</v>
      </c>
      <c r="E284" s="25">
        <v>83800</v>
      </c>
    </row>
    <row r="285" spans="2:5">
      <c r="B285" s="23">
        <v>3580000</v>
      </c>
      <c r="C285" s="24">
        <v>159080</v>
      </c>
      <c r="D285" s="24">
        <v>140330</v>
      </c>
      <c r="E285" s="25">
        <v>86000</v>
      </c>
    </row>
    <row r="286" spans="2:5">
      <c r="B286" s="23">
        <v>3600000</v>
      </c>
      <c r="C286" s="24">
        <v>161530</v>
      </c>
      <c r="D286" s="24">
        <v>142780</v>
      </c>
      <c r="E286" s="25">
        <v>88210</v>
      </c>
    </row>
    <row r="287" spans="2:5">
      <c r="B287" s="23">
        <v>3620000</v>
      </c>
      <c r="C287" s="24">
        <v>163970</v>
      </c>
      <c r="D287" s="24">
        <v>145220</v>
      </c>
      <c r="E287" s="25">
        <v>90410</v>
      </c>
    </row>
    <row r="288" spans="2:5">
      <c r="B288" s="23">
        <v>3640000</v>
      </c>
      <c r="C288" s="24">
        <v>166420</v>
      </c>
      <c r="D288" s="24">
        <v>147670</v>
      </c>
      <c r="E288" s="25">
        <v>92620</v>
      </c>
    </row>
    <row r="289" spans="2:5">
      <c r="B289" s="23">
        <v>3660000</v>
      </c>
      <c r="C289" s="24">
        <v>168860</v>
      </c>
      <c r="D289" s="24">
        <v>150110</v>
      </c>
      <c r="E289" s="25">
        <v>94820</v>
      </c>
    </row>
    <row r="290" spans="2:5">
      <c r="B290" s="23">
        <v>3680000</v>
      </c>
      <c r="C290" s="24">
        <v>171310</v>
      </c>
      <c r="D290" s="24">
        <v>152560</v>
      </c>
      <c r="E290" s="25">
        <v>97030</v>
      </c>
    </row>
    <row r="291" spans="2:5">
      <c r="B291" s="23">
        <v>3700000</v>
      </c>
      <c r="C291" s="24">
        <v>173750</v>
      </c>
      <c r="D291" s="24">
        <v>155000</v>
      </c>
      <c r="E291" s="25">
        <v>99230</v>
      </c>
    </row>
    <row r="292" spans="2:5">
      <c r="B292" s="23">
        <v>3720000</v>
      </c>
      <c r="C292" s="24">
        <v>176200</v>
      </c>
      <c r="D292" s="24">
        <v>157450</v>
      </c>
      <c r="E292" s="25">
        <v>101440</v>
      </c>
    </row>
    <row r="293" spans="2:5">
      <c r="B293" s="23">
        <v>3740000</v>
      </c>
      <c r="C293" s="24">
        <v>178640</v>
      </c>
      <c r="D293" s="24">
        <v>159890</v>
      </c>
      <c r="E293" s="25">
        <v>103640</v>
      </c>
    </row>
    <row r="294" spans="2:5">
      <c r="B294" s="23">
        <v>3760000</v>
      </c>
      <c r="C294" s="24">
        <v>181240</v>
      </c>
      <c r="D294" s="24">
        <v>162490</v>
      </c>
      <c r="E294" s="25">
        <v>106000</v>
      </c>
    </row>
    <row r="295" spans="2:5">
      <c r="B295" s="23">
        <v>3780000</v>
      </c>
      <c r="C295" s="24">
        <v>183830</v>
      </c>
      <c r="D295" s="24">
        <v>165080</v>
      </c>
      <c r="E295" s="25">
        <v>108350</v>
      </c>
    </row>
    <row r="296" spans="2:5">
      <c r="B296" s="23">
        <v>3800000</v>
      </c>
      <c r="C296" s="24">
        <v>186430</v>
      </c>
      <c r="D296" s="24">
        <v>167680</v>
      </c>
      <c r="E296" s="25">
        <v>110710</v>
      </c>
    </row>
    <row r="297" spans="2:5">
      <c r="B297" s="23">
        <v>3820000</v>
      </c>
      <c r="C297" s="24">
        <v>189020</v>
      </c>
      <c r="D297" s="24">
        <v>170270</v>
      </c>
      <c r="E297" s="25">
        <v>113060</v>
      </c>
    </row>
    <row r="298" spans="2:5">
      <c r="B298" s="23">
        <v>3840000</v>
      </c>
      <c r="C298" s="24">
        <v>191620</v>
      </c>
      <c r="D298" s="24">
        <v>172870</v>
      </c>
      <c r="E298" s="25">
        <v>115420</v>
      </c>
    </row>
    <row r="299" spans="2:5">
      <c r="B299" s="23">
        <v>3860000</v>
      </c>
      <c r="C299" s="24">
        <v>194210</v>
      </c>
      <c r="D299" s="24">
        <v>175460</v>
      </c>
      <c r="E299" s="25">
        <v>117770</v>
      </c>
    </row>
    <row r="300" spans="2:5">
      <c r="B300" s="23">
        <v>3880000</v>
      </c>
      <c r="C300" s="24">
        <v>196810</v>
      </c>
      <c r="D300" s="24">
        <v>178060</v>
      </c>
      <c r="E300" s="25">
        <v>120130</v>
      </c>
    </row>
    <row r="301" spans="2:5">
      <c r="B301" s="23">
        <v>3900000</v>
      </c>
      <c r="C301" s="24">
        <v>199540</v>
      </c>
      <c r="D301" s="24">
        <v>180790</v>
      </c>
      <c r="E301" s="25">
        <v>122620</v>
      </c>
    </row>
    <row r="302" spans="2:5">
      <c r="B302" s="23">
        <v>3920000</v>
      </c>
      <c r="C302" s="24">
        <v>202270</v>
      </c>
      <c r="D302" s="24">
        <v>183520</v>
      </c>
      <c r="E302" s="25">
        <v>125110</v>
      </c>
    </row>
    <row r="303" spans="2:5">
      <c r="B303" s="23">
        <v>3940000</v>
      </c>
      <c r="C303" s="24">
        <v>205000</v>
      </c>
      <c r="D303" s="24">
        <v>186250</v>
      </c>
      <c r="E303" s="25">
        <v>127600</v>
      </c>
    </row>
    <row r="304" spans="2:5">
      <c r="B304" s="23">
        <v>3960000</v>
      </c>
      <c r="C304" s="24">
        <v>207730</v>
      </c>
      <c r="D304" s="24">
        <v>188980</v>
      </c>
      <c r="E304" s="25">
        <v>130090</v>
      </c>
    </row>
    <row r="305" spans="2:5">
      <c r="B305" s="23">
        <v>3980000</v>
      </c>
      <c r="C305" s="24">
        <v>210460</v>
      </c>
      <c r="D305" s="24">
        <v>191710</v>
      </c>
      <c r="E305" s="25">
        <v>132580</v>
      </c>
    </row>
    <row r="306" spans="2:5">
      <c r="B306" s="23">
        <v>4000000</v>
      </c>
      <c r="C306" s="24">
        <v>213190</v>
      </c>
      <c r="D306" s="24">
        <v>194440</v>
      </c>
      <c r="E306" s="25">
        <v>135070</v>
      </c>
    </row>
    <row r="307" spans="2:5">
      <c r="B307" s="23">
        <v>4020000</v>
      </c>
      <c r="C307" s="24">
        <v>215920</v>
      </c>
      <c r="D307" s="24">
        <v>197170</v>
      </c>
      <c r="E307" s="25">
        <v>137560</v>
      </c>
    </row>
    <row r="308" spans="2:5">
      <c r="B308" s="23">
        <v>4040000</v>
      </c>
      <c r="C308" s="24">
        <v>218650</v>
      </c>
      <c r="D308" s="24">
        <v>199900</v>
      </c>
      <c r="E308" s="25">
        <v>140050</v>
      </c>
    </row>
    <row r="309" spans="2:5">
      <c r="B309" s="23">
        <v>4060000</v>
      </c>
      <c r="C309" s="24">
        <v>221380</v>
      </c>
      <c r="D309" s="24">
        <v>202630</v>
      </c>
      <c r="E309" s="25">
        <v>142540</v>
      </c>
    </row>
    <row r="310" spans="2:5">
      <c r="B310" s="23">
        <v>4080000</v>
      </c>
      <c r="C310" s="24">
        <v>224110</v>
      </c>
      <c r="D310" s="24">
        <v>205360</v>
      </c>
      <c r="E310" s="25">
        <v>145030</v>
      </c>
    </row>
    <row r="311" spans="2:5">
      <c r="B311" s="23">
        <v>4100000</v>
      </c>
      <c r="C311" s="24">
        <v>226840</v>
      </c>
      <c r="D311" s="24">
        <v>208090</v>
      </c>
      <c r="E311" s="25">
        <v>147520</v>
      </c>
    </row>
    <row r="312" spans="2:5">
      <c r="B312" s="23">
        <v>4120000</v>
      </c>
      <c r="C312" s="24">
        <v>229570</v>
      </c>
      <c r="D312" s="24">
        <v>210820</v>
      </c>
      <c r="E312" s="25">
        <v>150010</v>
      </c>
    </row>
    <row r="313" spans="2:5">
      <c r="B313" s="23">
        <v>4140000</v>
      </c>
      <c r="C313" s="24">
        <v>232300</v>
      </c>
      <c r="D313" s="24">
        <v>213550</v>
      </c>
      <c r="E313" s="25">
        <v>152500</v>
      </c>
    </row>
    <row r="314" spans="2:5">
      <c r="B314" s="23">
        <v>4160000</v>
      </c>
      <c r="C314" s="24">
        <v>235030</v>
      </c>
      <c r="D314" s="24">
        <v>216280</v>
      </c>
      <c r="E314" s="25">
        <v>154990</v>
      </c>
    </row>
    <row r="315" spans="2:5">
      <c r="B315" s="23">
        <v>4180000</v>
      </c>
      <c r="C315" s="24">
        <v>237760</v>
      </c>
      <c r="D315" s="24">
        <v>219010</v>
      </c>
      <c r="E315" s="25">
        <v>157480</v>
      </c>
    </row>
    <row r="316" spans="2:5">
      <c r="B316" s="23">
        <v>4200000</v>
      </c>
      <c r="C316" s="24">
        <v>240490</v>
      </c>
      <c r="D316" s="24">
        <v>221740</v>
      </c>
      <c r="E316" s="25">
        <v>159970</v>
      </c>
    </row>
    <row r="317" spans="2:5">
      <c r="B317" s="23">
        <v>4220000</v>
      </c>
      <c r="C317" s="24">
        <v>243220</v>
      </c>
      <c r="D317" s="24">
        <v>224470</v>
      </c>
      <c r="E317" s="25">
        <v>162460</v>
      </c>
    </row>
    <row r="318" spans="2:5">
      <c r="B318" s="23">
        <v>4240000</v>
      </c>
      <c r="C318" s="24">
        <v>245950</v>
      </c>
      <c r="D318" s="24">
        <v>227200</v>
      </c>
      <c r="E318" s="25">
        <v>164950</v>
      </c>
    </row>
    <row r="319" spans="2:5">
      <c r="B319" s="23">
        <v>4260000</v>
      </c>
      <c r="C319" s="24">
        <v>248680</v>
      </c>
      <c r="D319" s="24">
        <v>229930</v>
      </c>
      <c r="E319" s="25">
        <v>167440</v>
      </c>
    </row>
    <row r="320" spans="2:5">
      <c r="B320" s="23">
        <v>4280000</v>
      </c>
      <c r="C320" s="24">
        <v>251410</v>
      </c>
      <c r="D320" s="24">
        <v>232660</v>
      </c>
      <c r="E320" s="25">
        <v>169930</v>
      </c>
    </row>
    <row r="321" spans="2:5">
      <c r="B321" s="23">
        <v>4300000</v>
      </c>
      <c r="C321" s="24">
        <v>254140</v>
      </c>
      <c r="D321" s="24">
        <v>235390</v>
      </c>
      <c r="E321" s="25">
        <v>172420</v>
      </c>
    </row>
    <row r="322" spans="2:5">
      <c r="B322" s="23">
        <v>4320000</v>
      </c>
      <c r="C322" s="24">
        <v>256870</v>
      </c>
      <c r="D322" s="24">
        <v>238120</v>
      </c>
      <c r="E322" s="25">
        <v>174910</v>
      </c>
    </row>
    <row r="323" spans="2:5">
      <c r="B323" s="23">
        <v>4340000</v>
      </c>
      <c r="C323" s="24">
        <v>259600</v>
      </c>
      <c r="D323" s="24">
        <v>240850</v>
      </c>
      <c r="E323" s="25">
        <v>177400</v>
      </c>
    </row>
    <row r="324" spans="2:5">
      <c r="B324" s="23">
        <v>4360000</v>
      </c>
      <c r="C324" s="24">
        <v>262330</v>
      </c>
      <c r="D324" s="24">
        <v>243580</v>
      </c>
      <c r="E324" s="25">
        <v>179890</v>
      </c>
    </row>
    <row r="325" spans="2:5">
      <c r="B325" s="23">
        <v>4380000</v>
      </c>
      <c r="C325" s="24">
        <v>265060</v>
      </c>
      <c r="D325" s="24">
        <v>246310</v>
      </c>
      <c r="E325" s="25">
        <v>182380</v>
      </c>
    </row>
    <row r="326" spans="2:5">
      <c r="B326" s="23">
        <v>4400000</v>
      </c>
      <c r="C326" s="24">
        <v>267790</v>
      </c>
      <c r="D326" s="24">
        <v>249040</v>
      </c>
      <c r="E326" s="25">
        <v>184870</v>
      </c>
    </row>
    <row r="327" spans="2:5">
      <c r="B327" s="23">
        <v>4420000</v>
      </c>
      <c r="C327" s="24">
        <v>270520</v>
      </c>
      <c r="D327" s="24">
        <v>251770</v>
      </c>
      <c r="E327" s="25">
        <v>187360</v>
      </c>
    </row>
    <row r="328" spans="2:5">
      <c r="B328" s="23">
        <v>4440000</v>
      </c>
      <c r="C328" s="24">
        <v>273250</v>
      </c>
      <c r="D328" s="24">
        <v>254500</v>
      </c>
      <c r="E328" s="25">
        <v>189850</v>
      </c>
    </row>
    <row r="329" spans="2:5">
      <c r="B329" s="23">
        <v>4460000</v>
      </c>
      <c r="C329" s="24">
        <v>275980</v>
      </c>
      <c r="D329" s="24">
        <v>257230</v>
      </c>
      <c r="E329" s="25">
        <v>192340</v>
      </c>
    </row>
    <row r="330" spans="2:5">
      <c r="B330" s="23">
        <v>4480000</v>
      </c>
      <c r="C330" s="24">
        <v>278710</v>
      </c>
      <c r="D330" s="24">
        <v>259960</v>
      </c>
      <c r="E330" s="25">
        <v>194830</v>
      </c>
    </row>
    <row r="331" spans="2:5">
      <c r="B331" s="23">
        <v>4500000</v>
      </c>
      <c r="C331" s="24">
        <v>281440</v>
      </c>
      <c r="D331" s="24">
        <v>262690</v>
      </c>
      <c r="E331" s="25">
        <v>197320</v>
      </c>
    </row>
    <row r="332" spans="2:5">
      <c r="B332" s="23">
        <v>4520000</v>
      </c>
      <c r="C332" s="24">
        <v>284170</v>
      </c>
      <c r="D332" s="24">
        <v>265420</v>
      </c>
      <c r="E332" s="25">
        <v>199810</v>
      </c>
    </row>
    <row r="333" spans="2:5">
      <c r="B333" s="23">
        <v>4540000</v>
      </c>
      <c r="C333" s="24">
        <v>286900</v>
      </c>
      <c r="D333" s="24">
        <v>268150</v>
      </c>
      <c r="E333" s="25">
        <v>202300</v>
      </c>
    </row>
    <row r="334" spans="2:5">
      <c r="B334" s="23">
        <v>4560000</v>
      </c>
      <c r="C334" s="24">
        <v>289630</v>
      </c>
      <c r="D334" s="24">
        <v>270880</v>
      </c>
      <c r="E334" s="25">
        <v>204790</v>
      </c>
    </row>
    <row r="335" spans="2:5">
      <c r="B335" s="23">
        <v>4580000</v>
      </c>
      <c r="C335" s="24">
        <v>292360</v>
      </c>
      <c r="D335" s="24">
        <v>273610</v>
      </c>
      <c r="E335" s="25">
        <v>207280</v>
      </c>
    </row>
    <row r="336" spans="2:5">
      <c r="B336" s="23">
        <v>4600000</v>
      </c>
      <c r="C336" s="24">
        <v>295090</v>
      </c>
      <c r="D336" s="24">
        <v>276340</v>
      </c>
      <c r="E336" s="25">
        <v>209770</v>
      </c>
    </row>
    <row r="337" spans="2:5">
      <c r="B337" s="23">
        <v>4620000</v>
      </c>
      <c r="C337" s="24">
        <v>297820</v>
      </c>
      <c r="D337" s="24">
        <v>279070</v>
      </c>
      <c r="E337" s="25">
        <v>212260</v>
      </c>
    </row>
    <row r="338" spans="2:5">
      <c r="B338" s="23">
        <v>4640000</v>
      </c>
      <c r="C338" s="24">
        <v>300550</v>
      </c>
      <c r="D338" s="24">
        <v>281800</v>
      </c>
      <c r="E338" s="25">
        <v>214750</v>
      </c>
    </row>
    <row r="339" spans="2:5">
      <c r="B339" s="23">
        <v>4660000</v>
      </c>
      <c r="C339" s="24">
        <v>303280</v>
      </c>
      <c r="D339" s="24">
        <v>284530</v>
      </c>
      <c r="E339" s="25">
        <v>217240</v>
      </c>
    </row>
    <row r="340" spans="2:5">
      <c r="B340" s="23">
        <v>4680000</v>
      </c>
      <c r="C340" s="24">
        <v>306010</v>
      </c>
      <c r="D340" s="24">
        <v>287260</v>
      </c>
      <c r="E340" s="25">
        <v>219730</v>
      </c>
    </row>
    <row r="341" spans="2:5">
      <c r="B341" s="23">
        <v>4700000</v>
      </c>
      <c r="C341" s="24">
        <v>308740</v>
      </c>
      <c r="D341" s="24">
        <v>289990</v>
      </c>
      <c r="E341" s="25">
        <v>222220</v>
      </c>
    </row>
    <row r="342" spans="2:5">
      <c r="B342" s="23">
        <v>4720000</v>
      </c>
      <c r="C342" s="24">
        <v>311470</v>
      </c>
      <c r="D342" s="24">
        <v>292720</v>
      </c>
      <c r="E342" s="25">
        <v>224710</v>
      </c>
    </row>
    <row r="343" spans="2:5">
      <c r="B343" s="23">
        <v>4740000</v>
      </c>
      <c r="C343" s="24">
        <v>314200</v>
      </c>
      <c r="D343" s="24">
        <v>295450</v>
      </c>
      <c r="E343" s="25">
        <v>227200</v>
      </c>
    </row>
    <row r="344" spans="2:5">
      <c r="B344" s="23">
        <v>4760000</v>
      </c>
      <c r="C344" s="24">
        <v>316930</v>
      </c>
      <c r="D344" s="24">
        <v>298180</v>
      </c>
      <c r="E344" s="25">
        <v>229690</v>
      </c>
    </row>
    <row r="345" spans="2:5">
      <c r="B345" s="23">
        <v>4780000</v>
      </c>
      <c r="C345" s="24">
        <v>319660</v>
      </c>
      <c r="D345" s="24">
        <v>300910</v>
      </c>
      <c r="E345" s="25">
        <v>232180</v>
      </c>
    </row>
    <row r="346" spans="2:5">
      <c r="B346" s="23">
        <v>4800000</v>
      </c>
      <c r="C346" s="24">
        <v>322390</v>
      </c>
      <c r="D346" s="24">
        <v>303640</v>
      </c>
      <c r="E346" s="25">
        <v>234670</v>
      </c>
    </row>
    <row r="347" spans="2:5">
      <c r="B347" s="23">
        <v>4820000</v>
      </c>
      <c r="C347" s="24">
        <v>325120</v>
      </c>
      <c r="D347" s="24">
        <v>306370</v>
      </c>
      <c r="E347" s="25">
        <v>237160</v>
      </c>
    </row>
    <row r="348" spans="2:5">
      <c r="B348" s="23">
        <v>4840000</v>
      </c>
      <c r="C348" s="24">
        <v>327850</v>
      </c>
      <c r="D348" s="24">
        <v>309100</v>
      </c>
      <c r="E348" s="25">
        <v>239650</v>
      </c>
    </row>
    <row r="349" spans="2:5">
      <c r="B349" s="23">
        <v>4860000</v>
      </c>
      <c r="C349" s="24">
        <v>330580</v>
      </c>
      <c r="D349" s="24">
        <v>311830</v>
      </c>
      <c r="E349" s="25">
        <v>242140</v>
      </c>
    </row>
    <row r="350" spans="2:5">
      <c r="B350" s="23">
        <v>4880000</v>
      </c>
      <c r="C350" s="24">
        <v>333310</v>
      </c>
      <c r="D350" s="24">
        <v>314560</v>
      </c>
      <c r="E350" s="25">
        <v>244630</v>
      </c>
    </row>
    <row r="351" spans="2:5">
      <c r="B351" s="23">
        <v>4900000</v>
      </c>
      <c r="C351" s="24">
        <v>336040</v>
      </c>
      <c r="D351" s="24">
        <v>317290</v>
      </c>
      <c r="E351" s="25">
        <v>247120</v>
      </c>
    </row>
    <row r="352" spans="2:5">
      <c r="B352" s="23">
        <v>4920000</v>
      </c>
      <c r="C352" s="24">
        <v>338770</v>
      </c>
      <c r="D352" s="24">
        <v>320020</v>
      </c>
      <c r="E352" s="25">
        <v>249610</v>
      </c>
    </row>
    <row r="353" spans="2:5">
      <c r="B353" s="23">
        <v>4940000</v>
      </c>
      <c r="C353" s="24">
        <v>341500</v>
      </c>
      <c r="D353" s="24">
        <v>322750</v>
      </c>
      <c r="E353" s="25">
        <v>252100</v>
      </c>
    </row>
    <row r="354" spans="2:5">
      <c r="B354" s="23">
        <v>4960000</v>
      </c>
      <c r="C354" s="24">
        <v>344230</v>
      </c>
      <c r="D354" s="24">
        <v>325480</v>
      </c>
      <c r="E354" s="25">
        <v>254590</v>
      </c>
    </row>
    <row r="355" spans="2:5">
      <c r="B355" s="23">
        <v>4980000</v>
      </c>
      <c r="C355" s="24">
        <v>346960</v>
      </c>
      <c r="D355" s="24">
        <v>328210</v>
      </c>
      <c r="E355" s="25">
        <v>257080</v>
      </c>
    </row>
    <row r="356" spans="2:5">
      <c r="B356" s="31">
        <v>5000000</v>
      </c>
      <c r="C356" s="32">
        <v>349690</v>
      </c>
      <c r="D356" s="32">
        <v>330940</v>
      </c>
      <c r="E356" s="33">
        <v>259570</v>
      </c>
    </row>
  </sheetData>
  <mergeCells count="5">
    <mergeCell ref="B1:E1"/>
    <mergeCell ref="G1:I1"/>
    <mergeCell ref="K1:M1"/>
    <mergeCell ref="I4:I20"/>
    <mergeCell ref="M4:M16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급여명세서</vt:lpstr>
      <vt:lpstr>사원현황</vt:lpstr>
      <vt:lpstr>지급기준</vt:lpstr>
      <vt:lpstr>공제기준</vt:lpstr>
      <vt:lpstr>ID</vt:lpstr>
      <vt:lpstr>Name</vt:lpstr>
      <vt:lpstr>간이세액</vt:lpstr>
      <vt:lpstr>건강보험</vt:lpstr>
      <vt:lpstr>국민연금</vt:lpstr>
      <vt:lpstr>기본급테이블</vt:lpstr>
      <vt:lpstr>사원현황</vt:lpstr>
      <vt:lpstr>수당테이블</vt:lpstr>
      <vt:lpstr>월급여액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김경자</dc:creator>
  <cp:lastModifiedBy>34061746</cp:lastModifiedBy>
  <cp:lastPrinted>2015-11-30T02:54:03Z</cp:lastPrinted>
  <dcterms:created xsi:type="dcterms:W3CDTF">2015-11-09T10:50:56Z</dcterms:created>
  <dcterms:modified xsi:type="dcterms:W3CDTF">2021-08-18T01:59:44Z</dcterms:modified>
</cp:coreProperties>
</file>