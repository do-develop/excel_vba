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82107\Documents\GIT\excel_vba\book_list_example\"/>
    </mc:Choice>
  </mc:AlternateContent>
  <xr:revisionPtr revIDLastSave="0" documentId="13_ncr:1_{D9A74A65-D20E-4523-9D23-F675B5A8FA91}" xr6:coauthVersionLast="47" xr6:coauthVersionMax="47" xr10:uidLastSave="{00000000-0000-0000-0000-000000000000}"/>
  <bookViews>
    <workbookView xWindow="-100" yWindow="-100" windowWidth="21467" windowHeight="11576" xr2:uid="{00000000-000D-0000-FFFF-FFFF00000000}"/>
  </bookViews>
  <sheets>
    <sheet name="Receipt" sheetId="1" r:id="rId1"/>
    <sheet name="Booklist" sheetId="2" r:id="rId2"/>
  </sheets>
  <definedNames>
    <definedName name="Booklist">Booklist!$A$3:$B$16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2" i="1" l="1"/>
  <c r="H12" i="1"/>
  <c r="B12" i="1"/>
  <c r="I11" i="1"/>
  <c r="H11" i="1"/>
  <c r="B11" i="1"/>
  <c r="D8" i="1"/>
  <c r="D9" i="1" l="1"/>
</calcChain>
</file>

<file path=xl/sharedStrings.xml><?xml version="1.0" encoding="utf-8"?>
<sst xmlns="http://schemas.openxmlformats.org/spreadsheetml/2006/main" count="48" uniqueCount="46">
  <si>
    <t>거  래  명  세  표</t>
    <phoneticPr fontId="0" type="noConversion"/>
  </si>
  <si>
    <t>공급자</t>
    <phoneticPr fontId="0" type="noConversion"/>
  </si>
  <si>
    <t>사업자번호</t>
    <phoneticPr fontId="0" type="noConversion"/>
  </si>
  <si>
    <t>김경자</t>
    <phoneticPr fontId="0" type="noConversion"/>
  </si>
  <si>
    <t>회사명</t>
    <phoneticPr fontId="0" type="noConversion"/>
  </si>
  <si>
    <t>주 소</t>
    <phoneticPr fontId="0" type="noConversion"/>
  </si>
  <si>
    <t>아래와 같이 계산합니다.</t>
    <phoneticPr fontId="0" type="noConversion"/>
  </si>
  <si>
    <t>업 태</t>
    <phoneticPr fontId="0" type="noConversion"/>
  </si>
  <si>
    <t>제조</t>
    <phoneticPr fontId="0" type="noConversion"/>
  </si>
  <si>
    <t>종목</t>
    <phoneticPr fontId="0" type="noConversion"/>
  </si>
  <si>
    <t>출판</t>
    <phoneticPr fontId="0" type="noConversion"/>
  </si>
  <si>
    <t>작성날짜</t>
    <phoneticPr fontId="0" type="noConversion"/>
  </si>
  <si>
    <t>검토</t>
    <phoneticPr fontId="0" type="noConversion"/>
  </si>
  <si>
    <t>합계금액</t>
  </si>
  <si>
    <t>No.</t>
    <phoneticPr fontId="0" type="noConversion"/>
  </si>
  <si>
    <t>월/일</t>
    <phoneticPr fontId="0" type="noConversion"/>
  </si>
  <si>
    <t>도서명</t>
    <phoneticPr fontId="0" type="noConversion"/>
  </si>
  <si>
    <t>수  량</t>
    <phoneticPr fontId="0" type="noConversion"/>
  </si>
  <si>
    <t>단  가</t>
    <phoneticPr fontId="0" type="noConversion"/>
  </si>
  <si>
    <t>공급가액</t>
    <phoneticPr fontId="0" type="noConversion"/>
  </si>
  <si>
    <t>세  액</t>
    <phoneticPr fontId="0" type="noConversion"/>
  </si>
  <si>
    <t>비  고</t>
    <phoneticPr fontId="0" type="noConversion"/>
  </si>
  <si>
    <t>도서명</t>
  </si>
  <si>
    <t>도서 단가표</t>
  </si>
  <si>
    <t>단가</t>
  </si>
  <si>
    <t>124-91-70246</t>
    <phoneticPr fontId="0" type="noConversion"/>
  </si>
  <si>
    <t>정보문화사</t>
    <phoneticPr fontId="0" type="noConversion"/>
  </si>
  <si>
    <t>서울시 종로구 대학로 12길 38</t>
    <phoneticPr fontId="0" type="noConversion"/>
  </si>
  <si>
    <t>이상만</t>
    <phoneticPr fontId="0" type="noConversion"/>
  </si>
  <si>
    <t>대표자</t>
    <phoneticPr fontId="0" type="noConversion"/>
  </si>
  <si>
    <t>Business Powerpoint 2013</t>
  </si>
  <si>
    <t>Business Excel 2013</t>
  </si>
  <si>
    <t>Business Hangeul 2014</t>
  </si>
  <si>
    <t>DSLR Mirrorless</t>
  </si>
  <si>
    <t>Excel 2013</t>
  </si>
  <si>
    <t>Excel Functions</t>
  </si>
  <si>
    <t>Excel Macro And VBA</t>
  </si>
  <si>
    <t>iWork</t>
  </si>
  <si>
    <t>Lightroom5</t>
  </si>
  <si>
    <t>Photo Retouching</t>
  </si>
  <si>
    <t>Photoshop CC</t>
  </si>
  <si>
    <t>Photoshop Illustrator</t>
  </si>
  <si>
    <t>Prezi Technique</t>
  </si>
  <si>
    <t>Sketchup V-Ray</t>
  </si>
  <si>
    <t>Test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</si>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</sst>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64" formatCode="yyyymmddhhmmss"/>
    <numFmt numFmtId="165" formatCode="yyyy&quot;년&quot;\ m&quot;월&quot;\ d&quot;일&quot;;@"/>
    <numFmt numFmtId="166" formatCode="@\ &quot;귀&quot;&quot;하&quot;"/>
    <numFmt numFmtId="167" formatCode="mm&quot;/&quot;dd"/>
    <numFmt numFmtId="168" formatCode="#,##0_);[Red]\(#,##0\)"/>
    <numFmt numFmtId="169" formatCode="&quot;₩&quot;\ #,##0"/>
  </numFmts>
  <fonts count="18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55"/>
      <name val="Calibri"/>
      <family val="2"/>
      <scheme val="minor"/>
    </font>
    <font>
      <sz val="7"/>
      <color indexed="22"/>
      <name val="Calibri"/>
      <family val="2"/>
      <scheme val="minor"/>
    </font>
    <font>
      <sz val="9"/>
      <color indexed="8"/>
      <name val="Calibri"/>
      <family val="2"/>
      <scheme val="minor"/>
    </font>
    <font>
      <sz val="14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sz val="14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24"/>
      <color indexed="8"/>
      <name val="Calibri"/>
      <family val="2"/>
      <scheme val="minor"/>
    </font>
    <font>
      <sz val="11"/>
      <name val="Calibri"/>
      <family val="2"/>
      <charset val="129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/>
      <right/>
      <top style="dotted">
        <color indexed="55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41" fontId="1" fillId="0" borderId="0" applyFont="0" applyFill="0" applyBorder="0" applyAlignment="0" applyProtection="0"/>
  </cellStyleXfs>
  <cellXfs count="76">
    <xf numFmtId="0" fontId="0" fillId="0" borderId="0" xfId="0"/>
    <xf numFmtId="0" fontId="2" fillId="0" borderId="0" xfId="0" applyFont="1" applyAlignment="1">
      <alignment vertical="center"/>
    </xf>
    <xf numFmtId="0" fontId="3" fillId="0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/>
    <xf numFmtId="0" fontId="6" fillId="0" borderId="23" xfId="0" applyFont="1" applyFill="1" applyBorder="1" applyAlignment="1">
      <alignment vertical="center"/>
    </xf>
    <xf numFmtId="165" fontId="7" fillId="0" borderId="3" xfId="0" applyNumberFormat="1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 shrinkToFit="1"/>
    </xf>
    <xf numFmtId="0" fontId="6" fillId="0" borderId="24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10" fillId="0" borderId="2" xfId="0" applyFont="1" applyFill="1" applyBorder="1" applyAlignment="1">
      <alignment horizontal="center" vertical="center" shrinkToFit="1"/>
    </xf>
    <xf numFmtId="0" fontId="9" fillId="0" borderId="22" xfId="0" applyFont="1" applyFill="1" applyBorder="1" applyAlignment="1">
      <alignment horizontal="center" vertical="center" shrinkToFit="1"/>
    </xf>
    <xf numFmtId="0" fontId="3" fillId="0" borderId="24" xfId="0" applyFont="1" applyFill="1" applyBorder="1" applyAlignment="1">
      <alignment vertical="center"/>
    </xf>
    <xf numFmtId="166" fontId="11" fillId="0" borderId="0" xfId="0" applyNumberFormat="1" applyFont="1" applyFill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0" fontId="6" fillId="0" borderId="25" xfId="0" applyFont="1" applyFill="1" applyBorder="1" applyAlignment="1">
      <alignment vertical="center"/>
    </xf>
    <xf numFmtId="0" fontId="12" fillId="0" borderId="8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10" fillId="0" borderId="22" xfId="0" applyFont="1" applyFill="1" applyBorder="1" applyAlignment="1">
      <alignment horizontal="center" vertical="center" shrinkToFit="1"/>
    </xf>
    <xf numFmtId="0" fontId="12" fillId="0" borderId="21" xfId="0" applyFont="1" applyFill="1" applyBorder="1" applyAlignment="1">
      <alignment horizontal="center" vertical="center" shrinkToFit="1"/>
    </xf>
    <xf numFmtId="0" fontId="12" fillId="0" borderId="2" xfId="0" applyFont="1" applyFill="1" applyBorder="1" applyAlignment="1">
      <alignment horizontal="center" vertical="center"/>
    </xf>
    <xf numFmtId="0" fontId="12" fillId="0" borderId="22" xfId="0" applyFont="1" applyFill="1" applyBorder="1" applyAlignment="1">
      <alignment horizontal="center" vertical="center"/>
    </xf>
    <xf numFmtId="0" fontId="12" fillId="0" borderId="28" xfId="0" applyFont="1" applyFill="1" applyBorder="1" applyAlignment="1">
      <alignment horizontal="center" vertical="center" shrinkToFit="1"/>
    </xf>
    <xf numFmtId="167" fontId="3" fillId="0" borderId="15" xfId="0" applyNumberFormat="1" applyFont="1" applyFill="1" applyBorder="1" applyAlignment="1">
      <alignment horizontal="center" vertical="center" shrinkToFit="1"/>
    </xf>
    <xf numFmtId="0" fontId="12" fillId="0" borderId="14" xfId="0" applyFont="1" applyFill="1" applyBorder="1" applyAlignment="1">
      <alignment horizontal="left" vertical="center" shrinkToFit="1"/>
    </xf>
    <xf numFmtId="168" fontId="12" fillId="0" borderId="14" xfId="0" applyNumberFormat="1" applyFont="1" applyFill="1" applyBorder="1" applyAlignment="1">
      <alignment horizontal="right" vertical="center" shrinkToFit="1"/>
    </xf>
    <xf numFmtId="168" fontId="12" fillId="0" borderId="29" xfId="0" applyNumberFormat="1" applyFont="1" applyFill="1" applyBorder="1" applyAlignment="1">
      <alignment horizontal="right" vertical="center" shrinkToFit="1"/>
    </xf>
    <xf numFmtId="0" fontId="12" fillId="0" borderId="30" xfId="0" applyFont="1" applyFill="1" applyBorder="1" applyAlignment="1">
      <alignment horizontal="center" vertical="center" shrinkToFit="1"/>
    </xf>
    <xf numFmtId="0" fontId="12" fillId="0" borderId="15" xfId="0" applyFont="1" applyFill="1" applyBorder="1" applyAlignment="1">
      <alignment horizontal="left" vertical="center" shrinkToFit="1"/>
    </xf>
    <xf numFmtId="168" fontId="12" fillId="0" borderId="15" xfId="0" applyNumberFormat="1" applyFont="1" applyFill="1" applyBorder="1" applyAlignment="1">
      <alignment horizontal="right" vertical="center" shrinkToFit="1"/>
    </xf>
    <xf numFmtId="168" fontId="12" fillId="0" borderId="31" xfId="0" applyNumberFormat="1" applyFont="1" applyFill="1" applyBorder="1" applyAlignment="1">
      <alignment horizontal="right" vertical="center" shrinkToFit="1"/>
    </xf>
    <xf numFmtId="0" fontId="12" fillId="0" borderId="32" xfId="0" applyFont="1" applyFill="1" applyBorder="1" applyAlignment="1">
      <alignment horizontal="center" vertical="center" shrinkToFit="1"/>
    </xf>
    <xf numFmtId="167" fontId="3" fillId="0" borderId="33" xfId="0" applyNumberFormat="1" applyFont="1" applyFill="1" applyBorder="1" applyAlignment="1">
      <alignment horizontal="center" vertical="center" shrinkToFit="1"/>
    </xf>
    <xf numFmtId="0" fontId="12" fillId="0" borderId="33" xfId="0" applyFont="1" applyFill="1" applyBorder="1" applyAlignment="1">
      <alignment horizontal="left" vertical="center" shrinkToFit="1"/>
    </xf>
    <xf numFmtId="168" fontId="12" fillId="0" borderId="33" xfId="0" applyNumberFormat="1" applyFont="1" applyFill="1" applyBorder="1" applyAlignment="1">
      <alignment horizontal="right" vertical="center" shrinkToFit="1"/>
    </xf>
    <xf numFmtId="168" fontId="12" fillId="0" borderId="34" xfId="0" applyNumberFormat="1" applyFont="1" applyFill="1" applyBorder="1" applyAlignment="1">
      <alignment horizontal="right" vertical="center" shrinkToFit="1"/>
    </xf>
    <xf numFmtId="14" fontId="10" fillId="0" borderId="2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5" fillId="2" borderId="2" xfId="0" applyFont="1" applyFill="1" applyBorder="1" applyAlignment="1">
      <alignment horizontal="center" vertical="center"/>
    </xf>
    <xf numFmtId="0" fontId="14" fillId="0" borderId="2" xfId="0" applyFont="1" applyFill="1" applyBorder="1" applyAlignment="1">
      <alignment vertical="center"/>
    </xf>
    <xf numFmtId="41" fontId="14" fillId="0" borderId="2" xfId="1" applyFont="1" applyFill="1" applyBorder="1" applyAlignment="1">
      <alignment horizontal="center" vertical="center"/>
    </xf>
    <xf numFmtId="41" fontId="15" fillId="2" borderId="2" xfId="1" applyFont="1" applyFill="1" applyBorder="1" applyAlignment="1">
      <alignment horizontal="center" vertical="center"/>
    </xf>
    <xf numFmtId="41" fontId="0" fillId="0" borderId="2" xfId="1" applyFont="1" applyFill="1" applyBorder="1" applyAlignment="1">
      <alignment vertical="center"/>
    </xf>
    <xf numFmtId="41" fontId="0" fillId="0" borderId="0" xfId="1" applyFont="1" applyAlignment="1">
      <alignment vertical="center"/>
    </xf>
    <xf numFmtId="168" fontId="12" fillId="0" borderId="15" xfId="0" applyNumberFormat="1" applyFont="1" applyFill="1" applyBorder="1" applyAlignment="1">
      <alignment horizontal="right" vertical="center" shrinkToFit="1"/>
    </xf>
    <xf numFmtId="168" fontId="12" fillId="0" borderId="33" xfId="0" applyNumberFormat="1" applyFont="1" applyFill="1" applyBorder="1" applyAlignment="1">
      <alignment horizontal="right" vertical="center" shrinkToFit="1"/>
    </xf>
    <xf numFmtId="168" fontId="12" fillId="0" borderId="16" xfId="0" applyNumberFormat="1" applyFont="1" applyFill="1" applyBorder="1" applyAlignment="1">
      <alignment horizontal="right" vertical="center" shrinkToFit="1"/>
    </xf>
    <xf numFmtId="168" fontId="12" fillId="0" borderId="17" xfId="0" applyNumberFormat="1" applyFont="1" applyFill="1" applyBorder="1" applyAlignment="1">
      <alignment horizontal="right" vertical="center" shrinkToFit="1"/>
    </xf>
    <xf numFmtId="168" fontId="12" fillId="0" borderId="14" xfId="0" applyNumberFormat="1" applyFont="1" applyFill="1" applyBorder="1" applyAlignment="1">
      <alignment horizontal="right" vertical="center" shrinkToFit="1"/>
    </xf>
    <xf numFmtId="0" fontId="9" fillId="0" borderId="21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 shrinkToFit="1"/>
    </xf>
    <xf numFmtId="0" fontId="10" fillId="0" borderId="12" xfId="0" applyFont="1" applyFill="1" applyBorder="1" applyAlignment="1">
      <alignment horizontal="center" vertical="center" shrinkToFit="1"/>
    </xf>
    <xf numFmtId="0" fontId="10" fillId="0" borderId="26" xfId="0" applyFont="1" applyFill="1" applyBorder="1" applyAlignment="1">
      <alignment horizontal="center" vertical="center" shrinkToFit="1"/>
    </xf>
    <xf numFmtId="0" fontId="12" fillId="0" borderId="2" xfId="0" applyFont="1" applyFill="1" applyBorder="1" applyAlignment="1">
      <alignment horizontal="center" vertical="center"/>
    </xf>
    <xf numFmtId="0" fontId="12" fillId="0" borderId="27" xfId="0" applyFont="1" applyFill="1" applyBorder="1" applyAlignment="1">
      <alignment horizontal="center" vertical="center"/>
    </xf>
    <xf numFmtId="0" fontId="12" fillId="0" borderId="13" xfId="0" applyFont="1" applyFill="1" applyBorder="1" applyAlignment="1">
      <alignment horizontal="center" vertical="center"/>
    </xf>
    <xf numFmtId="169" fontId="12" fillId="2" borderId="11" xfId="0" applyNumberFormat="1" applyFont="1" applyFill="1" applyBorder="1" applyAlignment="1">
      <alignment horizontal="left" vertical="center" indent="2"/>
    </xf>
    <xf numFmtId="169" fontId="12" fillId="2" borderId="12" xfId="0" applyNumberFormat="1" applyFont="1" applyFill="1" applyBorder="1" applyAlignment="1">
      <alignment horizontal="left" vertical="center" indent="2"/>
    </xf>
    <xf numFmtId="169" fontId="12" fillId="2" borderId="26" xfId="0" applyNumberFormat="1" applyFont="1" applyFill="1" applyBorder="1" applyAlignment="1">
      <alignment horizontal="left" vertical="center" indent="2"/>
    </xf>
    <xf numFmtId="164" fontId="5" fillId="0" borderId="0" xfId="0" applyNumberFormat="1" applyFont="1" applyFill="1" applyBorder="1" applyAlignment="1">
      <alignment horizontal="right"/>
    </xf>
    <xf numFmtId="0" fontId="13" fillId="0" borderId="18" xfId="0" applyFont="1" applyFill="1" applyBorder="1" applyAlignment="1">
      <alignment horizontal="center" vertical="center"/>
    </xf>
    <xf numFmtId="0" fontId="13" fillId="0" borderId="19" xfId="0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13" fillId="0" borderId="21" xfId="0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0" fontId="13" fillId="0" borderId="22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 textRotation="255"/>
    </xf>
    <xf numFmtId="0" fontId="8" fillId="0" borderId="7" xfId="0" applyFont="1" applyFill="1" applyBorder="1" applyAlignment="1">
      <alignment horizontal="center" vertical="center" textRotation="255"/>
    </xf>
    <xf numFmtId="0" fontId="8" fillId="0" borderId="10" xfId="0" applyFont="1" applyFill="1" applyBorder="1" applyAlignment="1">
      <alignment horizontal="center" vertical="center" textRotation="255"/>
    </xf>
    <xf numFmtId="0" fontId="10" fillId="0" borderId="2" xfId="0" applyFont="1" applyFill="1" applyBorder="1" applyAlignment="1">
      <alignment horizontal="center" vertical="center" shrinkToFit="1"/>
    </xf>
    <xf numFmtId="0" fontId="10" fillId="0" borderId="22" xfId="0" applyFont="1" applyFill="1" applyBorder="1" applyAlignment="1">
      <alignment horizontal="center" vertical="center" shrinkToFit="1"/>
    </xf>
    <xf numFmtId="166" fontId="9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2">
    <cellStyle name="Comma [0]" xfId="1" builtinId="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119575</xdr:colOff>
          <xdr:row>1</xdr:row>
          <xdr:rowOff>70338</xdr:rowOff>
        </xdr:from>
        <xdr:to>
          <xdr:col>9</xdr:col>
          <xdr:colOff>703385</xdr:colOff>
          <xdr:row>2</xdr:row>
          <xdr:rowOff>161778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 Receipt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8"/>
  <sheetViews>
    <sheetView showGridLines="0" tabSelected="1" zoomScaleNormal="100" workbookViewId="0">
      <selection activeCell="B2" sqref="B2:J3"/>
    </sheetView>
  </sheetViews>
  <sheetFormatPr defaultColWidth="9.09765625" defaultRowHeight="14.4"/>
  <cols>
    <col min="1" max="1" width="3.3984375" style="1" customWidth="1"/>
    <col min="2" max="2" width="4.09765625" style="1" customWidth="1"/>
    <col min="3" max="3" width="9" style="1"/>
    <col min="4" max="4" width="25" style="1" customWidth="1"/>
    <col min="5" max="6" width="3" style="1" customWidth="1"/>
    <col min="7" max="7" width="10.59765625" style="1" customWidth="1"/>
    <col min="8" max="10" width="11.59765625" style="1" customWidth="1"/>
    <col min="11" max="16384" width="9.09765625" style="4"/>
  </cols>
  <sheetData>
    <row r="1" spans="2:10" ht="14.95" thickBot="1">
      <c r="B1" s="2"/>
      <c r="C1" s="2"/>
      <c r="D1" s="2"/>
      <c r="E1" s="2"/>
      <c r="F1" s="3"/>
      <c r="G1" s="2"/>
      <c r="H1" s="2"/>
      <c r="I1" s="62"/>
      <c r="J1" s="62"/>
    </row>
    <row r="2" spans="2:10" ht="19.55" customHeight="1">
      <c r="B2" s="63" t="s">
        <v>0</v>
      </c>
      <c r="C2" s="64"/>
      <c r="D2" s="64"/>
      <c r="E2" s="64"/>
      <c r="F2" s="64"/>
      <c r="G2" s="64"/>
      <c r="H2" s="64"/>
      <c r="I2" s="64"/>
      <c r="J2" s="65"/>
    </row>
    <row r="3" spans="2:10" ht="19.55" customHeight="1">
      <c r="B3" s="66"/>
      <c r="C3" s="67"/>
      <c r="D3" s="67"/>
      <c r="E3" s="67"/>
      <c r="F3" s="67"/>
      <c r="G3" s="67"/>
      <c r="H3" s="67"/>
      <c r="I3" s="67"/>
      <c r="J3" s="68"/>
    </row>
    <row r="4" spans="2:10" ht="19.55" customHeight="1">
      <c r="B4" s="5"/>
      <c r="C4" s="6"/>
      <c r="D4" s="6"/>
      <c r="E4" s="7"/>
      <c r="F4" s="69" t="s">
        <v>1</v>
      </c>
      <c r="G4" s="8" t="s">
        <v>2</v>
      </c>
      <c r="H4" s="72" t="s">
        <v>25</v>
      </c>
      <c r="I4" s="72"/>
      <c r="J4" s="73"/>
    </row>
    <row r="5" spans="2:10" ht="19.55" customHeight="1">
      <c r="B5" s="9"/>
      <c r="C5" s="74" t="s">
        <v>3</v>
      </c>
      <c r="D5" s="74"/>
      <c r="E5" s="10"/>
      <c r="F5" s="70"/>
      <c r="G5" s="8" t="s">
        <v>4</v>
      </c>
      <c r="H5" s="11" t="s">
        <v>26</v>
      </c>
      <c r="I5" s="11" t="s">
        <v>29</v>
      </c>
      <c r="J5" s="12" t="s">
        <v>28</v>
      </c>
    </row>
    <row r="6" spans="2:10" ht="19.55" customHeight="1">
      <c r="B6" s="13"/>
      <c r="C6" s="14"/>
      <c r="D6" s="14"/>
      <c r="E6" s="15"/>
      <c r="F6" s="70"/>
      <c r="G6" s="11" t="s">
        <v>5</v>
      </c>
      <c r="H6" s="72" t="s">
        <v>27</v>
      </c>
      <c r="I6" s="72"/>
      <c r="J6" s="73"/>
    </row>
    <row r="7" spans="2:10" ht="19.55" customHeight="1">
      <c r="B7" s="16"/>
      <c r="C7" s="17" t="s">
        <v>6</v>
      </c>
      <c r="D7" s="17"/>
      <c r="E7" s="18"/>
      <c r="F7" s="71"/>
      <c r="G7" s="11" t="s">
        <v>7</v>
      </c>
      <c r="H7" s="11" t="s">
        <v>8</v>
      </c>
      <c r="I7" s="11" t="s">
        <v>9</v>
      </c>
      <c r="J7" s="19" t="s">
        <v>10</v>
      </c>
    </row>
    <row r="8" spans="2:10" ht="19.55" customHeight="1">
      <c r="B8" s="50" t="s">
        <v>11</v>
      </c>
      <c r="C8" s="51"/>
      <c r="D8" s="37">
        <f ca="1">TODAY()</f>
        <v>44430</v>
      </c>
      <c r="E8" s="52" t="s">
        <v>12</v>
      </c>
      <c r="F8" s="52"/>
      <c r="G8" s="52"/>
      <c r="H8" s="53"/>
      <c r="I8" s="54"/>
      <c r="J8" s="55"/>
    </row>
    <row r="9" spans="2:10" ht="19.55" customHeight="1">
      <c r="B9" s="57" t="s">
        <v>13</v>
      </c>
      <c r="C9" s="58"/>
      <c r="D9" s="59">
        <f>IF(SUM(H11:I86)&gt;0,SUM(H11:I86),"")</f>
        <v>72600</v>
      </c>
      <c r="E9" s="60"/>
      <c r="F9" s="60"/>
      <c r="G9" s="60"/>
      <c r="H9" s="60"/>
      <c r="I9" s="60"/>
      <c r="J9" s="61"/>
    </row>
    <row r="10" spans="2:10" ht="19.55" customHeight="1">
      <c r="B10" s="20" t="s">
        <v>14</v>
      </c>
      <c r="C10" s="21" t="s">
        <v>15</v>
      </c>
      <c r="D10" s="21" t="s">
        <v>16</v>
      </c>
      <c r="E10" s="56" t="s">
        <v>17</v>
      </c>
      <c r="F10" s="56"/>
      <c r="G10" s="21" t="s">
        <v>18</v>
      </c>
      <c r="H10" s="21" t="s">
        <v>19</v>
      </c>
      <c r="I10" s="21" t="s">
        <v>20</v>
      </c>
      <c r="J10" s="22" t="s">
        <v>21</v>
      </c>
    </row>
    <row r="11" spans="2:10" ht="19.55" customHeight="1">
      <c r="B11" s="23">
        <f>ROW() - 10</f>
        <v>1</v>
      </c>
      <c r="C11" s="24">
        <v>44430</v>
      </c>
      <c r="D11" s="25" t="s">
        <v>32</v>
      </c>
      <c r="E11" s="49">
        <v>2</v>
      </c>
      <c r="F11" s="49"/>
      <c r="G11" s="26">
        <v>25000</v>
      </c>
      <c r="H11" s="26">
        <f>G11*E11</f>
        <v>50000</v>
      </c>
      <c r="I11" s="26">
        <f>H11*10%</f>
        <v>5000</v>
      </c>
      <c r="J11" s="27" t="s">
        <v>44</v>
      </c>
    </row>
    <row r="12" spans="2:10" ht="19.55" customHeight="1">
      <c r="B12" s="28">
        <f>ROW() - 10</f>
        <v>2</v>
      </c>
      <c r="C12" s="24">
        <v>44430</v>
      </c>
      <c r="D12" s="29" t="s">
        <v>33</v>
      </c>
      <c r="E12" s="45">
        <v>1</v>
      </c>
      <c r="F12" s="45"/>
      <c r="G12" s="30">
        <v>16000</v>
      </c>
      <c r="H12" s="30">
        <f>G12*E12</f>
        <v>16000</v>
      </c>
      <c r="I12" s="30">
        <f>H12*10%</f>
        <v>1600</v>
      </c>
      <c r="J12" s="31" t="s">
        <v>45</v>
      </c>
    </row>
    <row r="13" spans="2:10" ht="19.55" customHeight="1">
      <c r="B13" s="28"/>
      <c r="C13" s="24"/>
      <c r="D13" s="29"/>
      <c r="E13" s="45"/>
      <c r="F13" s="45"/>
      <c r="G13" s="30"/>
      <c r="H13" s="30"/>
      <c r="I13" s="30"/>
      <c r="J13" s="31"/>
    </row>
    <row r="14" spans="2:10" ht="19.55" customHeight="1">
      <c r="B14" s="28"/>
      <c r="C14" s="24"/>
      <c r="D14" s="29"/>
      <c r="E14" s="45"/>
      <c r="F14" s="45"/>
      <c r="G14" s="30"/>
      <c r="H14" s="30"/>
      <c r="I14" s="30"/>
      <c r="J14" s="31"/>
    </row>
    <row r="15" spans="2:10" ht="19.55" customHeight="1">
      <c r="B15" s="28"/>
      <c r="C15" s="24"/>
      <c r="D15" s="29"/>
      <c r="E15" s="45"/>
      <c r="F15" s="45"/>
      <c r="G15" s="30"/>
      <c r="H15" s="30"/>
      <c r="I15" s="30"/>
      <c r="J15" s="31"/>
    </row>
    <row r="16" spans="2:10" ht="19.55" customHeight="1">
      <c r="B16" s="28"/>
      <c r="C16" s="24"/>
      <c r="D16" s="29"/>
      <c r="E16" s="45"/>
      <c r="F16" s="45"/>
      <c r="G16" s="30"/>
      <c r="H16" s="30"/>
      <c r="I16" s="30"/>
      <c r="J16" s="31"/>
    </row>
    <row r="17" spans="2:10" ht="19.55" customHeight="1">
      <c r="B17" s="28"/>
      <c r="C17" s="24"/>
      <c r="D17" s="29"/>
      <c r="E17" s="47"/>
      <c r="F17" s="48"/>
      <c r="G17" s="30"/>
      <c r="H17" s="30"/>
      <c r="I17" s="30"/>
      <c r="J17" s="31"/>
    </row>
    <row r="18" spans="2:10" ht="19.55" customHeight="1">
      <c r="B18" s="28"/>
      <c r="C18" s="24"/>
      <c r="D18" s="29"/>
      <c r="E18" s="47"/>
      <c r="F18" s="48"/>
      <c r="G18" s="30"/>
      <c r="H18" s="30"/>
      <c r="I18" s="30"/>
      <c r="J18" s="31"/>
    </row>
    <row r="19" spans="2:10" ht="19.55" customHeight="1">
      <c r="B19" s="28"/>
      <c r="C19" s="24"/>
      <c r="D19" s="29"/>
      <c r="E19" s="47"/>
      <c r="F19" s="48"/>
      <c r="G19" s="30"/>
      <c r="H19" s="30"/>
      <c r="I19" s="30"/>
      <c r="J19" s="31"/>
    </row>
    <row r="20" spans="2:10" ht="19.55" customHeight="1">
      <c r="B20" s="28"/>
      <c r="C20" s="24"/>
      <c r="D20" s="29"/>
      <c r="E20" s="47"/>
      <c r="F20" s="48"/>
      <c r="G20" s="30"/>
      <c r="H20" s="30"/>
      <c r="I20" s="30"/>
      <c r="J20" s="31"/>
    </row>
    <row r="21" spans="2:10" ht="19.55" customHeight="1">
      <c r="B21" s="28"/>
      <c r="C21" s="24"/>
      <c r="D21" s="29"/>
      <c r="E21" s="47"/>
      <c r="F21" s="48"/>
      <c r="G21" s="30"/>
      <c r="H21" s="30"/>
      <c r="I21" s="30"/>
      <c r="J21" s="31"/>
    </row>
    <row r="22" spans="2:10" ht="19.55" customHeight="1">
      <c r="B22" s="28"/>
      <c r="C22" s="24"/>
      <c r="D22" s="29"/>
      <c r="E22" s="45"/>
      <c r="F22" s="45"/>
      <c r="G22" s="30"/>
      <c r="H22" s="30"/>
      <c r="I22" s="30"/>
      <c r="J22" s="31"/>
    </row>
    <row r="23" spans="2:10" ht="19.55" customHeight="1">
      <c r="B23" s="28"/>
      <c r="C23" s="24"/>
      <c r="D23" s="29"/>
      <c r="E23" s="45"/>
      <c r="F23" s="45"/>
      <c r="G23" s="30"/>
      <c r="H23" s="30"/>
      <c r="I23" s="30"/>
      <c r="J23" s="31"/>
    </row>
    <row r="24" spans="2:10" ht="19.55" customHeight="1">
      <c r="B24" s="28"/>
      <c r="C24" s="24"/>
      <c r="D24" s="29"/>
      <c r="E24" s="45"/>
      <c r="F24" s="45"/>
      <c r="G24" s="30"/>
      <c r="H24" s="30"/>
      <c r="I24" s="30"/>
      <c r="J24" s="31"/>
    </row>
    <row r="25" spans="2:10" ht="19.55" customHeight="1">
      <c r="B25" s="28"/>
      <c r="C25" s="24"/>
      <c r="D25" s="29"/>
      <c r="E25" s="45"/>
      <c r="F25" s="45"/>
      <c r="G25" s="30"/>
      <c r="H25" s="30"/>
      <c r="I25" s="30"/>
      <c r="J25" s="31"/>
    </row>
    <row r="26" spans="2:10" ht="19.55" customHeight="1">
      <c r="B26" s="28"/>
      <c r="C26" s="24"/>
      <c r="D26" s="29"/>
      <c r="E26" s="45"/>
      <c r="F26" s="45"/>
      <c r="G26" s="30"/>
      <c r="H26" s="30"/>
      <c r="I26" s="30"/>
      <c r="J26" s="31"/>
    </row>
    <row r="27" spans="2:10" ht="19.55" customHeight="1">
      <c r="B27" s="28"/>
      <c r="C27" s="24"/>
      <c r="D27" s="29"/>
      <c r="E27" s="45"/>
      <c r="F27" s="45"/>
      <c r="G27" s="30"/>
      <c r="H27" s="30"/>
      <c r="I27" s="30"/>
      <c r="J27" s="31"/>
    </row>
    <row r="28" spans="2:10" ht="19.55" customHeight="1">
      <c r="B28" s="28"/>
      <c r="C28" s="24"/>
      <c r="D28" s="29"/>
      <c r="E28" s="47"/>
      <c r="F28" s="48"/>
      <c r="G28" s="30"/>
      <c r="H28" s="30"/>
      <c r="I28" s="30"/>
      <c r="J28" s="31"/>
    </row>
    <row r="29" spans="2:10" ht="19.55" customHeight="1">
      <c r="B29" s="28"/>
      <c r="C29" s="24"/>
      <c r="D29" s="29"/>
      <c r="E29" s="47"/>
      <c r="F29" s="48"/>
      <c r="G29" s="30"/>
      <c r="H29" s="30"/>
      <c r="I29" s="30"/>
      <c r="J29" s="31"/>
    </row>
    <row r="30" spans="2:10" ht="19.55" customHeight="1">
      <c r="B30" s="28"/>
      <c r="C30" s="24"/>
      <c r="D30" s="29"/>
      <c r="E30" s="47"/>
      <c r="F30" s="48"/>
      <c r="G30" s="30"/>
      <c r="H30" s="30"/>
      <c r="I30" s="30"/>
      <c r="J30" s="31"/>
    </row>
    <row r="31" spans="2:10" ht="19.55" customHeight="1">
      <c r="B31" s="28"/>
      <c r="C31" s="24"/>
      <c r="D31" s="29"/>
      <c r="E31" s="47"/>
      <c r="F31" s="48"/>
      <c r="G31" s="30"/>
      <c r="H31" s="30"/>
      <c r="I31" s="30"/>
      <c r="J31" s="31"/>
    </row>
    <row r="32" spans="2:10" ht="19.55" customHeight="1">
      <c r="B32" s="28"/>
      <c r="C32" s="24"/>
      <c r="D32" s="29"/>
      <c r="E32" s="47"/>
      <c r="F32" s="48"/>
      <c r="G32" s="30"/>
      <c r="H32" s="30"/>
      <c r="I32" s="30"/>
      <c r="J32" s="31"/>
    </row>
    <row r="33" spans="2:10" ht="19.55" customHeight="1">
      <c r="B33" s="28"/>
      <c r="C33" s="24"/>
      <c r="D33" s="29"/>
      <c r="E33" s="45"/>
      <c r="F33" s="45"/>
      <c r="G33" s="30"/>
      <c r="H33" s="30"/>
      <c r="I33" s="30"/>
      <c r="J33" s="31"/>
    </row>
    <row r="34" spans="2:10" ht="19.55" customHeight="1">
      <c r="B34" s="28"/>
      <c r="C34" s="24"/>
      <c r="D34" s="29"/>
      <c r="E34" s="45"/>
      <c r="F34" s="45"/>
      <c r="G34" s="30"/>
      <c r="H34" s="30"/>
      <c r="I34" s="30"/>
      <c r="J34" s="31"/>
    </row>
    <row r="35" spans="2:10" ht="19.55" customHeight="1">
      <c r="B35" s="28"/>
      <c r="C35" s="24"/>
      <c r="D35" s="29"/>
      <c r="E35" s="45"/>
      <c r="F35" s="45"/>
      <c r="G35" s="30"/>
      <c r="H35" s="30"/>
      <c r="I35" s="30"/>
      <c r="J35" s="31"/>
    </row>
    <row r="36" spans="2:10" ht="19.55" customHeight="1">
      <c r="B36" s="28"/>
      <c r="C36" s="24"/>
      <c r="D36" s="29"/>
      <c r="E36" s="45"/>
      <c r="F36" s="45"/>
      <c r="G36" s="30"/>
      <c r="H36" s="30"/>
      <c r="I36" s="30"/>
      <c r="J36" s="31"/>
    </row>
    <row r="37" spans="2:10" ht="19.55" customHeight="1">
      <c r="B37" s="28"/>
      <c r="C37" s="24"/>
      <c r="D37" s="29"/>
      <c r="E37" s="45"/>
      <c r="F37" s="45"/>
      <c r="G37" s="30"/>
      <c r="H37" s="30"/>
      <c r="I37" s="30"/>
      <c r="J37" s="31"/>
    </row>
    <row r="38" spans="2:10" ht="19.55" customHeight="1" thickBot="1">
      <c r="B38" s="32"/>
      <c r="C38" s="33"/>
      <c r="D38" s="34"/>
      <c r="E38" s="46"/>
      <c r="F38" s="46"/>
      <c r="G38" s="35"/>
      <c r="H38" s="35"/>
      <c r="I38" s="35"/>
      <c r="J38" s="36"/>
    </row>
  </sheetData>
  <mergeCells count="40">
    <mergeCell ref="I1:J1"/>
    <mergeCell ref="B2:J3"/>
    <mergeCell ref="F4:F7"/>
    <mergeCell ref="H4:J4"/>
    <mergeCell ref="C5:D5"/>
    <mergeCell ref="H6:J6"/>
    <mergeCell ref="B8:C8"/>
    <mergeCell ref="E8:G8"/>
    <mergeCell ref="H8:J8"/>
    <mergeCell ref="E10:F10"/>
    <mergeCell ref="B9:C9"/>
    <mergeCell ref="D9:J9"/>
    <mergeCell ref="E24:F24"/>
    <mergeCell ref="E16:F16"/>
    <mergeCell ref="E17:F17"/>
    <mergeCell ref="E18:F18"/>
    <mergeCell ref="E11:F11"/>
    <mergeCell ref="E12:F12"/>
    <mergeCell ref="E13:F13"/>
    <mergeCell ref="E14:F14"/>
    <mergeCell ref="E15:F15"/>
    <mergeCell ref="E19:F19"/>
    <mergeCell ref="E20:F20"/>
    <mergeCell ref="E21:F21"/>
    <mergeCell ref="E22:F22"/>
    <mergeCell ref="E23:F23"/>
    <mergeCell ref="E31:F31"/>
    <mergeCell ref="E32:F32"/>
    <mergeCell ref="E33:F33"/>
    <mergeCell ref="E25:F25"/>
    <mergeCell ref="E26:F26"/>
    <mergeCell ref="E27:F27"/>
    <mergeCell ref="E28:F28"/>
    <mergeCell ref="E29:F29"/>
    <mergeCell ref="E30:F30"/>
    <mergeCell ref="E34:F34"/>
    <mergeCell ref="E35:F35"/>
    <mergeCell ref="E36:F36"/>
    <mergeCell ref="E37:F37"/>
    <mergeCell ref="E38:F38"/>
  </mergeCells>
  <phoneticPr fontId="17" type="noConversion"/>
  <pageMargins left="0.25" right="0.32291666666666669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ecuteInputForm">
                <anchor moveWithCells="1" sizeWithCells="1">
                  <from>
                    <xdr:col>8</xdr:col>
                    <xdr:colOff>119575</xdr:colOff>
                    <xdr:row>1</xdr:row>
                    <xdr:rowOff>70338</xdr:rowOff>
                  </from>
                  <to>
                    <xdr:col>9</xdr:col>
                    <xdr:colOff>703385</xdr:colOff>
                    <xdr:row>2</xdr:row>
                    <xdr:rowOff>161778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>
      <selection activeCell="A3" sqref="A3"/>
    </sheetView>
  </sheetViews>
  <sheetFormatPr defaultColWidth="9.09765625" defaultRowHeight="14.4"/>
  <cols>
    <col min="1" max="1" width="51.3984375" style="38" bestFit="1" customWidth="1"/>
    <col min="2" max="2" width="12.59765625" style="44" customWidth="1"/>
    <col min="3" max="16384" width="9.09765625" style="38"/>
  </cols>
  <sheetData>
    <row r="1" spans="1:2" ht="23.85">
      <c r="A1" s="75" t="s">
        <v>23</v>
      </c>
      <c r="B1" s="75"/>
    </row>
    <row r="2" spans="1:2" ht="20.25" customHeight="1">
      <c r="A2" s="39" t="s">
        <v>22</v>
      </c>
      <c r="B2" s="42" t="s">
        <v>24</v>
      </c>
    </row>
    <row r="3" spans="1:2" ht="20.25" customHeight="1">
      <c r="A3" s="40" t="s">
        <v>31</v>
      </c>
      <c r="B3" s="43">
        <v>23000</v>
      </c>
    </row>
    <row r="4" spans="1:2" ht="20.25" customHeight="1">
      <c r="A4" s="40" t="s">
        <v>32</v>
      </c>
      <c r="B4" s="43">
        <v>25000</v>
      </c>
    </row>
    <row r="5" spans="1:2" ht="20.25" customHeight="1">
      <c r="A5" s="40" t="s">
        <v>30</v>
      </c>
      <c r="B5" s="41">
        <v>16000</v>
      </c>
    </row>
    <row r="6" spans="1:2" ht="20.25" customHeight="1">
      <c r="A6" s="40" t="s">
        <v>33</v>
      </c>
      <c r="B6" s="41">
        <v>16000</v>
      </c>
    </row>
    <row r="7" spans="1:2" ht="20.25" customHeight="1">
      <c r="A7" s="40" t="s">
        <v>34</v>
      </c>
      <c r="B7" s="41">
        <v>16000</v>
      </c>
    </row>
    <row r="8" spans="1:2" ht="20.25" customHeight="1">
      <c r="A8" s="40" t="s">
        <v>35</v>
      </c>
      <c r="B8" s="41">
        <v>15000</v>
      </c>
    </row>
    <row r="9" spans="1:2" ht="20.25" customHeight="1">
      <c r="A9" s="40" t="s">
        <v>36</v>
      </c>
      <c r="B9" s="41">
        <v>20000</v>
      </c>
    </row>
    <row r="10" spans="1:2" ht="20.25" customHeight="1">
      <c r="A10" s="40" t="s">
        <v>37</v>
      </c>
      <c r="B10" s="41">
        <v>35000</v>
      </c>
    </row>
    <row r="11" spans="1:2" ht="20.25" customHeight="1">
      <c r="A11" s="40" t="s">
        <v>38</v>
      </c>
      <c r="B11" s="41">
        <v>20000</v>
      </c>
    </row>
    <row r="12" spans="1:2" ht="20.25" customHeight="1">
      <c r="A12" s="40" t="s">
        <v>39</v>
      </c>
      <c r="B12" s="41">
        <v>20000</v>
      </c>
    </row>
    <row r="13" spans="1:2" ht="20.25" customHeight="1">
      <c r="A13" s="40" t="s">
        <v>40</v>
      </c>
      <c r="B13" s="41">
        <v>27000</v>
      </c>
    </row>
    <row r="14" spans="1:2" ht="20.25" customHeight="1">
      <c r="A14" s="40" t="s">
        <v>41</v>
      </c>
      <c r="B14" s="41">
        <v>20000</v>
      </c>
    </row>
    <row r="15" spans="1:2" ht="20.25" customHeight="1">
      <c r="A15" s="40" t="s">
        <v>42</v>
      </c>
      <c r="B15" s="41">
        <v>25000</v>
      </c>
    </row>
    <row r="16" spans="1:2" ht="20.25" customHeight="1">
      <c r="A16" s="40" t="s">
        <v>43</v>
      </c>
      <c r="B16" s="41">
        <v>23000</v>
      </c>
    </row>
  </sheetData>
  <mergeCells count="1">
    <mergeCell ref="A1:B1"/>
  </mergeCells>
  <phoneticPr fontId="1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Receipt</vt:lpstr>
      <vt:lpstr>Booklist</vt:lpstr>
      <vt:lpstr>Booklist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kyongja kim</dc:creator>
  <cp:lastModifiedBy>34061746</cp:lastModifiedBy>
  <dcterms:created xsi:type="dcterms:W3CDTF">2015-11-23T05:26:00Z</dcterms:created>
  <dcterms:modified xsi:type="dcterms:W3CDTF">2021-08-22T01:54:54Z</dcterms:modified>
</cp:coreProperties>
</file>