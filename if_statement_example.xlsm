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A79F39EC-BDF9-4229-8353-B44B74FA3C76}" xr6:coauthVersionLast="47" xr6:coauthVersionMax="47" xr10:uidLastSave="{00000000-0000-0000-0000-000000000000}"/>
  <bookViews>
    <workbookView xWindow="-100" yWindow="-100" windowWidth="21467" windowHeight="11576" xr2:uid="{00000000-000D-0000-FFFF-FFFF00000000}"/>
  </bookViews>
  <sheets>
    <sheet name="applica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7" i="1" l="1"/>
  <c r="H22" i="1" l="1"/>
  <c r="H21" i="1"/>
</calcChain>
</file>

<file path=xl/sharedStrings.xml><?xml version="1.0" encoding="utf-8"?>
<sst xmlns="http://schemas.openxmlformats.org/spreadsheetml/2006/main" count="68" uniqueCount="64">
  <si>
    <t>주택 보수기금 융자 신청서 (개인용)</t>
    <phoneticPr fontId="0" type="noConversion"/>
  </si>
  <si>
    <t>[참조 목록]</t>
    <phoneticPr fontId="0" type="noConversion"/>
  </si>
  <si>
    <t>신
청
인</t>
    <phoneticPr fontId="0" type="noConversion"/>
  </si>
  <si>
    <t>성 명</t>
  </si>
  <si>
    <t>김경자</t>
    <phoneticPr fontId="0" type="noConversion"/>
  </si>
  <si>
    <t>주택유형</t>
    <phoneticPr fontId="0" type="noConversion"/>
  </si>
  <si>
    <t>단독주택</t>
  </si>
  <si>
    <t>주택유형</t>
    <phoneticPr fontId="0" type="noConversion"/>
  </si>
  <si>
    <t>단위</t>
    <phoneticPr fontId="0" type="noConversion"/>
  </si>
  <si>
    <t>주민번호</t>
    <phoneticPr fontId="0" type="noConversion"/>
  </si>
  <si>
    <t>전화번호</t>
    <phoneticPr fontId="0" type="noConversion"/>
  </si>
  <si>
    <t>031-373-4606</t>
    <phoneticPr fontId="0" type="noConversion"/>
  </si>
  <si>
    <t>모두</t>
    <phoneticPr fontId="0" type="noConversion"/>
  </si>
  <si>
    <t>kg</t>
    <phoneticPr fontId="0" type="noConversion"/>
  </si>
  <si>
    <t>주소</t>
    <phoneticPr fontId="0" type="noConversion"/>
  </si>
  <si>
    <t>경기 경기도 화성시 동탄지성로 104</t>
    <phoneticPr fontId="0" type="noConversion"/>
  </si>
  <si>
    <t>난방방식</t>
    <phoneticPr fontId="0" type="noConversion"/>
  </si>
  <si>
    <t>중앙난방</t>
    <phoneticPr fontId="0" type="noConversion"/>
  </si>
  <si>
    <t>아파트</t>
    <phoneticPr fontId="0" type="noConversion"/>
  </si>
  <si>
    <r>
      <t>k</t>
    </r>
    <r>
      <rPr>
        <sz val="11"/>
        <color theme="1"/>
        <rFont val="Calibri"/>
        <family val="2"/>
        <charset val="129"/>
        <scheme val="minor"/>
      </rPr>
      <t>W</t>
    </r>
  </si>
  <si>
    <t>경과년수</t>
    <phoneticPr fontId="0" type="noConversion"/>
  </si>
  <si>
    <t>전용면적</t>
    <phoneticPr fontId="0" type="noConversion"/>
  </si>
  <si>
    <t>단독주택</t>
    <phoneticPr fontId="0" type="noConversion"/>
  </si>
  <si>
    <t>㎡</t>
    <phoneticPr fontId="0" type="noConversion"/>
  </si>
  <si>
    <t>내
용</t>
    <phoneticPr fontId="0" type="noConversion"/>
  </si>
  <si>
    <t>개보수항목</t>
  </si>
  <si>
    <t>대상</t>
    <phoneticPr fontId="0" type="noConversion"/>
  </si>
  <si>
    <t>수량</t>
    <phoneticPr fontId="0" type="noConversion"/>
  </si>
  <si>
    <t>단위</t>
    <phoneticPr fontId="0" type="noConversion"/>
  </si>
  <si>
    <t>종류 또는 성능</t>
  </si>
  <si>
    <t>금 액</t>
  </si>
  <si>
    <t>연립주택</t>
    <phoneticPr fontId="0" type="noConversion"/>
  </si>
  <si>
    <t>식</t>
    <phoneticPr fontId="0" type="noConversion"/>
  </si>
  <si>
    <t>발코니창</t>
  </si>
  <si>
    <t>O</t>
  </si>
  <si>
    <t>kg</t>
  </si>
  <si>
    <t>방음기능 포함</t>
  </si>
  <si>
    <t>다가구주택</t>
    <phoneticPr fontId="0" type="noConversion"/>
  </si>
  <si>
    <t>내부창(외기직접면)</t>
  </si>
  <si>
    <t>kW</t>
  </si>
  <si>
    <t>열 기능 추가</t>
  </si>
  <si>
    <t>내부창(외기간접면)</t>
  </si>
  <si>
    <t>1. 주택유형 : 목록</t>
    <phoneticPr fontId="0" type="noConversion"/>
  </si>
  <si>
    <t>복도창</t>
  </si>
  <si>
    <t>2. 주민등록번호 : 자리수제한</t>
    <phoneticPr fontId="0" type="noConversion"/>
  </si>
  <si>
    <t>현관문</t>
  </si>
  <si>
    <t>3. 대상 : 목록, OX 직접입력</t>
    <phoneticPr fontId="0" type="noConversion"/>
  </si>
  <si>
    <t>가스보일러</t>
  </si>
  <si>
    <t>4. 단위 : 목록</t>
    <phoneticPr fontId="0" type="noConversion"/>
  </si>
  <si>
    <t>기름보일러</t>
  </si>
  <si>
    <t>5. 금액 : 최대금액 제한</t>
    <phoneticPr fontId="0" type="noConversion"/>
  </si>
  <si>
    <t>대기전력차단장치</t>
  </si>
  <si>
    <t>난방용온도조절기</t>
  </si>
  <si>
    <t>총 해당 개보수 비용</t>
  </si>
  <si>
    <t>융자신청</t>
  </si>
  <si>
    <t>융자신청액</t>
  </si>
  <si>
    <t>융자한도액 
대비융자신청액비율</t>
    <phoneticPr fontId="0" type="noConversion"/>
  </si>
  <si>
    <t xml:space="preserve"> 「기존주택의 에너지절약형 개보수 및 리모델링 지침」제10조에 따라 위와 같이 에너지절약
   주택 개보수 기금의 융자를 신청합니다.</t>
    <phoneticPr fontId="0" type="noConversion"/>
  </si>
  <si>
    <t>신청인</t>
    <phoneticPr fontId="0" type="noConversion"/>
  </si>
  <si>
    <t>(서명 또는 인)</t>
    <phoneticPr fontId="0" type="noConversion"/>
  </si>
  <si>
    <t xml:space="preserve"> ※ 구비서류 : 등기부등본, 사용자 개보수 동의서</t>
    <phoneticPr fontId="0" type="noConversion"/>
  </si>
  <si>
    <t>자동 여닫이</t>
    <phoneticPr fontId="11" type="noConversion"/>
  </si>
  <si>
    <t>식</t>
  </si>
  <si>
    <t>거꾸로 보일러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</si>
</sst>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00\-0000000"/>
    <numFmt numFmtId="165" formatCode="0&quot;년&quot;"/>
    <numFmt numFmtId="166" formatCode="#,##0&quot;㎡&quot;"/>
    <numFmt numFmtId="167" formatCode="_(* #,##0_);_(* \(#,##0\);_(* &quot;-&quot;_);_(@_)"/>
  </numFmts>
  <fonts count="13">
    <font>
      <sz val="11"/>
      <color indexed="8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indexed="8"/>
      <name val="맑은 고딕"/>
      <family val="3"/>
      <charset val="129"/>
    </font>
    <font>
      <sz val="11"/>
      <color indexed="8"/>
      <name val="Calibri"/>
      <family val="3"/>
      <charset val="129"/>
      <scheme val="minor"/>
    </font>
    <font>
      <b/>
      <sz val="18"/>
      <color rgb="FF000000"/>
      <name val="Calibri"/>
      <family val="3"/>
      <charset val="129"/>
      <scheme val="minor"/>
    </font>
    <font>
      <b/>
      <sz val="12"/>
      <color indexed="8"/>
      <name val="Calibri"/>
      <family val="3"/>
      <charset val="129"/>
      <scheme val="minor"/>
    </font>
    <font>
      <b/>
      <sz val="12"/>
      <color rgb="FF000000"/>
      <name val="Calibri"/>
      <family val="3"/>
      <charset val="129"/>
      <scheme val="minor"/>
    </font>
    <font>
      <sz val="12"/>
      <color rgb="FF000000"/>
      <name val="Calibri"/>
      <family val="3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0"/>
      <color rgb="FF000000"/>
      <name val="Calibri"/>
      <family val="3"/>
      <charset val="129"/>
      <scheme val="minor"/>
    </font>
    <font>
      <sz val="8"/>
      <name val="맑은 고딕"/>
      <family val="3"/>
      <charset val="129"/>
    </font>
    <font>
      <b/>
      <sz val="11"/>
      <color rgb="FF000000"/>
      <name val="Calibri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167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9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Continuous"/>
    </xf>
    <xf numFmtId="0" fontId="4" fillId="0" borderId="0" xfId="0" applyFont="1" applyAlignment="1">
      <alignment horizontal="centerContinuous" vertical="center"/>
    </xf>
    <xf numFmtId="0" fontId="8" fillId="3" borderId="6" xfId="0" applyFont="1" applyFill="1" applyBorder="1" applyAlignment="1">
      <alignment horizontal="center" vertical="center" wrapText="1"/>
    </xf>
    <xf numFmtId="0" fontId="9" fillId="4" borderId="14" xfId="3" applyFont="1" applyFill="1" applyBorder="1" applyAlignment="1">
      <alignment horizontal="center" vertical="center"/>
    </xf>
    <xf numFmtId="0" fontId="2" fillId="0" borderId="14" xfId="3" applyFont="1" applyBorder="1" applyAlignment="1">
      <alignment horizontal="center" vertical="center"/>
    </xf>
    <xf numFmtId="0" fontId="2" fillId="0" borderId="14" xfId="3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19" xfId="0" applyFont="1" applyBorder="1" applyAlignment="1">
      <alignment vertical="center" wrapText="1"/>
    </xf>
    <xf numFmtId="0" fontId="2" fillId="0" borderId="0" xfId="3" applyAlignment="1">
      <alignment vertical="center"/>
    </xf>
    <xf numFmtId="0" fontId="2" fillId="0" borderId="0" xfId="3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2" borderId="26" xfId="0" applyFont="1" applyFill="1" applyBorder="1" applyAlignment="1">
      <alignment horizontal="center" vertical="center" wrapText="1"/>
    </xf>
    <xf numFmtId="10" fontId="8" fillId="0" borderId="28" xfId="2" applyNumberFormat="1" applyFont="1" applyBorder="1" applyAlignment="1">
      <alignment horizontal="center" vertical="center" wrapText="1"/>
    </xf>
    <xf numFmtId="0" fontId="8" fillId="0" borderId="32" xfId="0" applyFont="1" applyBorder="1" applyAlignment="1">
      <alignment vertical="center" wrapText="1"/>
    </xf>
    <xf numFmtId="14" fontId="8" fillId="0" borderId="0" xfId="0" applyNumberFormat="1" applyFont="1" applyBorder="1" applyAlignment="1">
      <alignment vertical="center" wrapText="1"/>
    </xf>
    <xf numFmtId="14" fontId="8" fillId="0" borderId="33" xfId="0" applyNumberFormat="1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8" fillId="0" borderId="33" xfId="0" applyFont="1" applyBorder="1" applyAlignment="1">
      <alignment vertical="center" wrapText="1"/>
    </xf>
    <xf numFmtId="0" fontId="8" fillId="0" borderId="34" xfId="0" applyFont="1" applyBorder="1" applyAlignment="1">
      <alignment horizontal="justify" vertical="center" wrapText="1"/>
    </xf>
    <xf numFmtId="0" fontId="8" fillId="0" borderId="35" xfId="0" applyFont="1" applyBorder="1" applyAlignment="1">
      <alignment horizontal="justify" vertical="center" wrapText="1"/>
    </xf>
    <xf numFmtId="0" fontId="8" fillId="0" borderId="36" xfId="0" applyFont="1" applyBorder="1" applyAlignment="1">
      <alignment horizontal="justify" vertical="center" wrapText="1"/>
    </xf>
    <xf numFmtId="0" fontId="10" fillId="0" borderId="32" xfId="0" applyFont="1" applyBorder="1" applyAlignment="1">
      <alignment horizontal="justify" vertical="center" wrapText="1"/>
    </xf>
    <xf numFmtId="0" fontId="10" fillId="0" borderId="0" xfId="0" applyFont="1" applyBorder="1" applyAlignment="1">
      <alignment horizontal="justify" vertical="center" wrapText="1"/>
    </xf>
    <xf numFmtId="0" fontId="10" fillId="0" borderId="33" xfId="0" applyFont="1" applyBorder="1" applyAlignment="1">
      <alignment horizontal="justify" vertical="center" wrapText="1"/>
    </xf>
    <xf numFmtId="14" fontId="8" fillId="0" borderId="0" xfId="0" applyNumberFormat="1" applyFont="1" applyBorder="1" applyAlignment="1">
      <alignment horizontal="right" vertical="center" wrapText="1"/>
    </xf>
    <xf numFmtId="0" fontId="8" fillId="0" borderId="0" xfId="0" applyFont="1" applyBorder="1" applyAlignment="1">
      <alignment horizontal="right" vertical="center" wrapText="1"/>
    </xf>
    <xf numFmtId="0" fontId="8" fillId="0" borderId="0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 wrapText="1"/>
    </xf>
    <xf numFmtId="0" fontId="10" fillId="0" borderId="33" xfId="0" applyFont="1" applyBorder="1" applyAlignment="1">
      <alignment horizontal="left" vertical="center" wrapText="1"/>
    </xf>
    <xf numFmtId="0" fontId="8" fillId="3" borderId="7" xfId="0" applyFont="1" applyFill="1" applyBorder="1" applyAlignment="1">
      <alignment horizontal="left" vertical="center" wrapText="1" indent="1"/>
    </xf>
    <xf numFmtId="0" fontId="4" fillId="0" borderId="8" xfId="0" applyFont="1" applyBorder="1">
      <alignment vertical="center"/>
    </xf>
    <xf numFmtId="0" fontId="4" fillId="0" borderId="20" xfId="0" applyFont="1" applyBorder="1">
      <alignment vertical="center"/>
    </xf>
    <xf numFmtId="0" fontId="8" fillId="0" borderId="7" xfId="0" applyFont="1" applyBorder="1" applyAlignment="1">
      <alignment horizontal="left" vertical="center" shrinkToFit="1"/>
    </xf>
    <xf numFmtId="0" fontId="8" fillId="0" borderId="8" xfId="0" applyFont="1" applyBorder="1" applyAlignment="1">
      <alignment horizontal="left" vertical="center" shrinkToFit="1"/>
    </xf>
    <xf numFmtId="0" fontId="8" fillId="0" borderId="20" xfId="0" applyFont="1" applyBorder="1" applyAlignment="1">
      <alignment horizontal="left" vertical="center" shrinkToFit="1"/>
    </xf>
    <xf numFmtId="167" fontId="8" fillId="0" borderId="7" xfId="1" applyFont="1" applyBorder="1" applyAlignment="1">
      <alignment horizontal="justify" vertical="center" wrapText="1"/>
    </xf>
    <xf numFmtId="167" fontId="8" fillId="0" borderId="25" xfId="1" applyFont="1" applyBorder="1" applyAlignment="1">
      <alignment horizontal="justify" vertical="center" wrapText="1"/>
    </xf>
    <xf numFmtId="0" fontId="8" fillId="0" borderId="29" xfId="0" applyFont="1" applyBorder="1" applyAlignment="1">
      <alignment horizontal="justify" vertical="center" wrapText="1"/>
    </xf>
    <xf numFmtId="0" fontId="8" fillId="0" borderId="30" xfId="0" applyFont="1" applyBorder="1" applyAlignment="1">
      <alignment horizontal="justify" vertical="center" wrapText="1"/>
    </xf>
    <xf numFmtId="0" fontId="8" fillId="0" borderId="31" xfId="0" applyFont="1" applyBorder="1" applyAlignment="1">
      <alignment horizontal="justify" vertical="center" wrapText="1"/>
    </xf>
    <xf numFmtId="167" fontId="8" fillId="0" borderId="7" xfId="1" applyFont="1" applyBorder="1" applyAlignment="1">
      <alignment horizontal="center" vertical="center" wrapText="1"/>
    </xf>
    <xf numFmtId="167" fontId="8" fillId="0" borderId="25" xfId="1" applyFont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167" fontId="7" fillId="0" borderId="7" xfId="1" applyFont="1" applyBorder="1" applyAlignment="1">
      <alignment horizontal="justify" vertical="center" wrapText="1"/>
    </xf>
    <xf numFmtId="167" fontId="12" fillId="0" borderId="25" xfId="1" applyFont="1" applyBorder="1" applyAlignment="1">
      <alignment horizontal="justify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167" fontId="8" fillId="0" borderId="8" xfId="1" applyFont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3" borderId="21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8" fillId="0" borderId="10" xfId="0" applyNumberFormat="1" applyFont="1" applyFill="1" applyBorder="1" applyAlignment="1">
      <alignment horizontal="center" vertical="center" wrapText="1"/>
    </xf>
    <xf numFmtId="0" fontId="8" fillId="0" borderId="12" xfId="0" applyNumberFormat="1" applyFont="1" applyFill="1" applyBorder="1" applyAlignment="1">
      <alignment horizontal="center" vertical="center" wrapText="1"/>
    </xf>
    <xf numFmtId="0" fontId="8" fillId="0" borderId="13" xfId="0" applyNumberFormat="1" applyFont="1" applyFill="1" applyBorder="1" applyAlignment="1">
      <alignment horizontal="center" vertical="center" wrapText="1"/>
    </xf>
    <xf numFmtId="164" fontId="8" fillId="0" borderId="7" xfId="0" applyNumberFormat="1" applyFont="1" applyBorder="1" applyAlignment="1">
      <alignment horizontal="center" vertical="center" wrapText="1"/>
    </xf>
    <xf numFmtId="164" fontId="4" fillId="0" borderId="8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 shrinkToFit="1"/>
    </xf>
    <xf numFmtId="0" fontId="8" fillId="0" borderId="10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165" fontId="8" fillId="0" borderId="7" xfId="0" applyNumberFormat="1" applyFont="1" applyBorder="1" applyAlignment="1">
      <alignment horizontal="center" vertical="center" shrinkToFit="1"/>
    </xf>
    <xf numFmtId="165" fontId="8" fillId="0" borderId="8" xfId="0" applyNumberFormat="1" applyFont="1" applyBorder="1" applyAlignment="1">
      <alignment horizontal="center" vertical="center" shrinkToFit="1"/>
    </xf>
    <xf numFmtId="165" fontId="8" fillId="0" borderId="9" xfId="0" applyNumberFormat="1" applyFont="1" applyBorder="1" applyAlignment="1">
      <alignment horizontal="center" vertical="center" shrinkToFit="1"/>
    </xf>
    <xf numFmtId="166" fontId="8" fillId="0" borderId="10" xfId="0" applyNumberFormat="1" applyFont="1" applyFill="1" applyBorder="1" applyAlignment="1">
      <alignment horizontal="center" vertical="center" wrapText="1"/>
    </xf>
    <xf numFmtId="166" fontId="8" fillId="0" borderId="12" xfId="0" applyNumberFormat="1" applyFont="1" applyFill="1" applyBorder="1" applyAlignment="1">
      <alignment horizontal="center" vertical="center" wrapText="1"/>
    </xf>
    <xf numFmtId="166" fontId="8" fillId="0" borderId="13" xfId="0" applyNumberFormat="1" applyFont="1" applyFill="1" applyBorder="1" applyAlignment="1">
      <alignment horizontal="center" vertical="center" wrapText="1"/>
    </xf>
  </cellXfs>
  <cellStyles count="4">
    <cellStyle name="Comma [0]" xfId="1" builtinId="6"/>
    <cellStyle name="Normal" xfId="0" builtinId="0"/>
    <cellStyle name="Percent" xfId="2" builtinId="5"/>
    <cellStyle name="표준 4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R24"/>
  <sheetViews>
    <sheetView showGridLines="0" tabSelected="1" zoomScaleNormal="100" workbookViewId="0">
      <selection activeCell="W9" sqref="W9"/>
    </sheetView>
  </sheetViews>
  <sheetFormatPr defaultColWidth="9" defaultRowHeight="14.4"/>
  <cols>
    <col min="1" max="1" width="3.453125" style="1" customWidth="1"/>
    <col min="2" max="2" width="5.7265625" style="1" customWidth="1"/>
    <col min="3" max="3" width="11" style="1" bestFit="1" customWidth="1"/>
    <col min="4" max="4" width="9" style="1"/>
    <col min="5" max="5" width="5.08984375" style="1" customWidth="1"/>
    <col min="6" max="6" width="5.6328125" style="1" customWidth="1"/>
    <col min="7" max="8" width="7.453125" style="1" customWidth="1"/>
    <col min="9" max="9" width="5.36328125" style="1" customWidth="1"/>
    <col min="10" max="10" width="7.6328125" style="1" customWidth="1"/>
    <col min="11" max="11" width="6.6328125" style="1" customWidth="1"/>
    <col min="12" max="12" width="5.90625" style="1" customWidth="1"/>
    <col min="13" max="13" width="10.26953125" style="1" customWidth="1"/>
    <col min="14" max="15" width="4.36328125" style="1" customWidth="1"/>
    <col min="16" max="16" width="3.26953125" style="1" hidden="1" customWidth="1"/>
    <col min="17" max="17" width="12.36328125" style="2" hidden="1" customWidth="1"/>
    <col min="18" max="18" width="10.90625" style="2" hidden="1" customWidth="1"/>
    <col min="19" max="19" width="0" style="1" hidden="1" customWidth="1"/>
    <col min="20" max="16384" width="9" style="1"/>
  </cols>
  <sheetData>
    <row r="1" spans="2:18" ht="12.05" customHeight="1" thickBot="1"/>
    <row r="2" spans="2:18" ht="67.599999999999994" customHeight="1">
      <c r="B2" s="65" t="s">
        <v>0</v>
      </c>
      <c r="C2" s="66"/>
      <c r="D2" s="66"/>
      <c r="E2" s="66"/>
      <c r="F2" s="66"/>
      <c r="G2" s="66"/>
      <c r="H2" s="66"/>
      <c r="I2" s="67"/>
      <c r="J2" s="67"/>
      <c r="K2" s="67"/>
      <c r="L2" s="67"/>
      <c r="M2" s="68"/>
      <c r="Q2" s="3" t="s">
        <v>1</v>
      </c>
      <c r="R2" s="4"/>
    </row>
    <row r="3" spans="2:18" ht="25.5" customHeight="1">
      <c r="B3" s="58" t="s">
        <v>2</v>
      </c>
      <c r="C3" s="5" t="s">
        <v>3</v>
      </c>
      <c r="D3" s="69" t="s">
        <v>4</v>
      </c>
      <c r="E3" s="70"/>
      <c r="F3" s="70"/>
      <c r="G3" s="70"/>
      <c r="H3" s="71"/>
      <c r="I3" s="72" t="s">
        <v>5</v>
      </c>
      <c r="J3" s="73"/>
      <c r="K3" s="74" t="s">
        <v>6</v>
      </c>
      <c r="L3" s="75"/>
      <c r="M3" s="76"/>
      <c r="Q3" s="6" t="s">
        <v>7</v>
      </c>
      <c r="R3" s="6" t="s">
        <v>8</v>
      </c>
    </row>
    <row r="4" spans="2:18" ht="25.5" customHeight="1">
      <c r="B4" s="59"/>
      <c r="C4" s="5" t="s">
        <v>9</v>
      </c>
      <c r="D4" s="77">
        <v>7010102111111</v>
      </c>
      <c r="E4" s="78"/>
      <c r="F4" s="78"/>
      <c r="G4" s="78"/>
      <c r="H4" s="79"/>
      <c r="I4" s="80" t="s">
        <v>10</v>
      </c>
      <c r="J4" s="81"/>
      <c r="K4" s="82" t="s">
        <v>11</v>
      </c>
      <c r="L4" s="83"/>
      <c r="M4" s="84"/>
      <c r="Q4" s="7" t="s">
        <v>12</v>
      </c>
      <c r="R4" s="8" t="s">
        <v>13</v>
      </c>
    </row>
    <row r="5" spans="2:18" ht="25.5" customHeight="1">
      <c r="B5" s="59"/>
      <c r="C5" s="5" t="s">
        <v>14</v>
      </c>
      <c r="D5" s="38" t="s">
        <v>15</v>
      </c>
      <c r="E5" s="39"/>
      <c r="F5" s="39"/>
      <c r="G5" s="39"/>
      <c r="H5" s="85"/>
      <c r="I5" s="80" t="s">
        <v>16</v>
      </c>
      <c r="J5" s="81"/>
      <c r="K5" s="86" t="s">
        <v>17</v>
      </c>
      <c r="L5" s="87"/>
      <c r="M5" s="88"/>
      <c r="Q5" s="8" t="s">
        <v>18</v>
      </c>
      <c r="R5" s="7" t="s">
        <v>19</v>
      </c>
    </row>
    <row r="6" spans="2:18" ht="25.5" customHeight="1">
      <c r="B6" s="60"/>
      <c r="C6" s="9" t="s">
        <v>20</v>
      </c>
      <c r="D6" s="89">
        <v>5</v>
      </c>
      <c r="E6" s="90"/>
      <c r="F6" s="90"/>
      <c r="G6" s="90"/>
      <c r="H6" s="91"/>
      <c r="I6" s="72" t="s">
        <v>21</v>
      </c>
      <c r="J6" s="73"/>
      <c r="K6" s="92">
        <v>151</v>
      </c>
      <c r="L6" s="93"/>
      <c r="M6" s="94"/>
      <c r="Q6" s="8" t="s">
        <v>22</v>
      </c>
      <c r="R6" s="8" t="s">
        <v>23</v>
      </c>
    </row>
    <row r="7" spans="2:18" ht="32.299999999999997" customHeight="1">
      <c r="B7" s="58" t="s">
        <v>24</v>
      </c>
      <c r="C7" s="48" t="s">
        <v>25</v>
      </c>
      <c r="D7" s="36"/>
      <c r="E7" s="37"/>
      <c r="F7" s="10" t="s">
        <v>26</v>
      </c>
      <c r="G7" s="10" t="s">
        <v>27</v>
      </c>
      <c r="H7" s="10" t="s">
        <v>28</v>
      </c>
      <c r="I7" s="61" t="s">
        <v>29</v>
      </c>
      <c r="J7" s="62"/>
      <c r="K7" s="63"/>
      <c r="L7" s="61" t="s">
        <v>30</v>
      </c>
      <c r="M7" s="64"/>
      <c r="Q7" s="8" t="s">
        <v>31</v>
      </c>
      <c r="R7" s="8" t="s">
        <v>32</v>
      </c>
    </row>
    <row r="8" spans="2:18" ht="23.95" customHeight="1">
      <c r="B8" s="59"/>
      <c r="C8" s="35" t="s">
        <v>33</v>
      </c>
      <c r="D8" s="36"/>
      <c r="E8" s="37"/>
      <c r="F8" s="11" t="s">
        <v>34</v>
      </c>
      <c r="G8" s="11">
        <v>5</v>
      </c>
      <c r="H8" s="11" t="s">
        <v>35</v>
      </c>
      <c r="I8" s="38" t="s">
        <v>36</v>
      </c>
      <c r="J8" s="39"/>
      <c r="K8" s="40"/>
      <c r="L8" s="41">
        <v>1850000</v>
      </c>
      <c r="M8" s="42"/>
      <c r="Q8" s="8" t="s">
        <v>37</v>
      </c>
    </row>
    <row r="9" spans="2:18" ht="23.95" customHeight="1">
      <c r="B9" s="59"/>
      <c r="C9" s="35" t="s">
        <v>38</v>
      </c>
      <c r="D9" s="36"/>
      <c r="E9" s="37"/>
      <c r="F9" s="11" t="s">
        <v>34</v>
      </c>
      <c r="G9" s="11">
        <v>4</v>
      </c>
      <c r="H9" s="11" t="s">
        <v>39</v>
      </c>
      <c r="I9" s="38" t="s">
        <v>40</v>
      </c>
      <c r="J9" s="39"/>
      <c r="K9" s="40"/>
      <c r="L9" s="41">
        <v>2540000</v>
      </c>
      <c r="M9" s="42"/>
    </row>
    <row r="10" spans="2:18" ht="23.95" customHeight="1">
      <c r="B10" s="59"/>
      <c r="C10" s="35" t="s">
        <v>41</v>
      </c>
      <c r="D10" s="36"/>
      <c r="E10" s="37"/>
      <c r="F10" s="11"/>
      <c r="G10" s="12"/>
      <c r="H10" s="11"/>
      <c r="I10" s="38"/>
      <c r="J10" s="39"/>
      <c r="K10" s="40"/>
      <c r="L10" s="41"/>
      <c r="M10" s="42"/>
      <c r="Q10" s="13" t="s">
        <v>42</v>
      </c>
    </row>
    <row r="11" spans="2:18" ht="23.95" customHeight="1">
      <c r="B11" s="59"/>
      <c r="C11" s="35" t="s">
        <v>43</v>
      </c>
      <c r="D11" s="36"/>
      <c r="E11" s="37"/>
      <c r="F11" s="11"/>
      <c r="G11" s="12"/>
      <c r="H11" s="11"/>
      <c r="I11" s="38"/>
      <c r="J11" s="39"/>
      <c r="K11" s="40"/>
      <c r="L11" s="41"/>
      <c r="M11" s="42"/>
      <c r="Q11" s="13" t="s">
        <v>44</v>
      </c>
    </row>
    <row r="12" spans="2:18" ht="23.95" customHeight="1">
      <c r="B12" s="59"/>
      <c r="C12" s="35" t="s">
        <v>45</v>
      </c>
      <c r="D12" s="36"/>
      <c r="E12" s="37"/>
      <c r="F12" s="11" t="s">
        <v>34</v>
      </c>
      <c r="G12" s="12">
        <v>2</v>
      </c>
      <c r="H12" s="11" t="s">
        <v>62</v>
      </c>
      <c r="I12" s="38" t="s">
        <v>61</v>
      </c>
      <c r="J12" s="39"/>
      <c r="K12" s="40"/>
      <c r="L12" s="41">
        <v>2800000</v>
      </c>
      <c r="M12" s="42"/>
      <c r="Q12" s="13" t="s">
        <v>46</v>
      </c>
    </row>
    <row r="13" spans="2:18" ht="23.95" customHeight="1">
      <c r="B13" s="59"/>
      <c r="C13" s="35" t="s">
        <v>47</v>
      </c>
      <c r="D13" s="36"/>
      <c r="E13" s="37"/>
      <c r="F13" s="11"/>
      <c r="G13" s="12"/>
      <c r="H13" s="11"/>
      <c r="I13" s="38"/>
      <c r="J13" s="39"/>
      <c r="K13" s="40"/>
      <c r="L13" s="41"/>
      <c r="M13" s="42"/>
      <c r="Q13" s="14" t="s">
        <v>48</v>
      </c>
    </row>
    <row r="14" spans="2:18" ht="23.95" customHeight="1">
      <c r="B14" s="59"/>
      <c r="C14" s="35" t="s">
        <v>49</v>
      </c>
      <c r="D14" s="36"/>
      <c r="E14" s="37"/>
      <c r="F14" s="11" t="s">
        <v>34</v>
      </c>
      <c r="G14" s="12">
        <v>1</v>
      </c>
      <c r="H14" s="11" t="s">
        <v>35</v>
      </c>
      <c r="I14" s="38" t="s">
        <v>63</v>
      </c>
      <c r="J14" s="39"/>
      <c r="K14" s="40"/>
      <c r="L14" s="41">
        <v>3000000</v>
      </c>
      <c r="M14" s="42"/>
      <c r="Q14" s="15" t="s">
        <v>50</v>
      </c>
    </row>
    <row r="15" spans="2:18" ht="23.95" customHeight="1">
      <c r="B15" s="59"/>
      <c r="C15" s="35" t="s">
        <v>51</v>
      </c>
      <c r="D15" s="36"/>
      <c r="E15" s="37"/>
      <c r="F15" s="11"/>
      <c r="G15" s="12"/>
      <c r="H15" s="11"/>
      <c r="I15" s="38"/>
      <c r="J15" s="39"/>
      <c r="K15" s="40"/>
      <c r="L15" s="46"/>
      <c r="M15" s="47"/>
    </row>
    <row r="16" spans="2:18" ht="23.95" customHeight="1">
      <c r="B16" s="59"/>
      <c r="C16" s="35" t="s">
        <v>52</v>
      </c>
      <c r="D16" s="36"/>
      <c r="E16" s="37"/>
      <c r="F16" s="11"/>
      <c r="G16" s="12"/>
      <c r="H16" s="11"/>
      <c r="I16" s="38"/>
      <c r="J16" s="39"/>
      <c r="K16" s="40"/>
      <c r="L16" s="41"/>
      <c r="M16" s="42"/>
      <c r="Q16" s="14"/>
    </row>
    <row r="17" spans="2:17" ht="34.5" customHeight="1">
      <c r="B17" s="60"/>
      <c r="C17" s="48" t="s">
        <v>53</v>
      </c>
      <c r="D17" s="49"/>
      <c r="E17" s="49"/>
      <c r="F17" s="49"/>
      <c r="G17" s="49"/>
      <c r="H17" s="49"/>
      <c r="I17" s="49"/>
      <c r="J17" s="49"/>
      <c r="K17" s="50"/>
      <c r="L17" s="51">
        <f>SUM(L8:L16)</f>
        <v>10190000</v>
      </c>
      <c r="M17" s="52"/>
      <c r="Q17" s="14"/>
    </row>
    <row r="18" spans="2:17" ht="49.6" customHeight="1">
      <c r="B18" s="16" t="s">
        <v>54</v>
      </c>
      <c r="C18" s="53" t="s">
        <v>55</v>
      </c>
      <c r="D18" s="54"/>
      <c r="E18" s="46">
        <v>0</v>
      </c>
      <c r="F18" s="55"/>
      <c r="G18" s="55"/>
      <c r="H18" s="55"/>
      <c r="I18" s="55"/>
      <c r="J18" s="56" t="s">
        <v>56</v>
      </c>
      <c r="K18" s="57"/>
      <c r="L18" s="54"/>
      <c r="M18" s="17">
        <v>0</v>
      </c>
      <c r="Q18" s="14"/>
    </row>
    <row r="19" spans="2:17" ht="48.05" customHeight="1">
      <c r="B19" s="43" t="s">
        <v>57</v>
      </c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5"/>
    </row>
    <row r="20" spans="2:17">
      <c r="B20" s="26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8"/>
    </row>
    <row r="21" spans="2:17" ht="20.25" customHeight="1">
      <c r="B21" s="18"/>
      <c r="C21" s="19"/>
      <c r="D21" s="19"/>
      <c r="E21" s="19"/>
      <c r="F21" s="19"/>
      <c r="G21" s="19"/>
      <c r="H21" s="29">
        <f ca="1">TODAY()</f>
        <v>44425</v>
      </c>
      <c r="I21" s="29"/>
      <c r="J21" s="29"/>
      <c r="K21" s="29"/>
      <c r="L21" s="19"/>
      <c r="M21" s="20"/>
    </row>
    <row r="22" spans="2:17" ht="23.95" customHeight="1">
      <c r="B22" s="18"/>
      <c r="C22" s="21"/>
      <c r="D22" s="21"/>
      <c r="E22" s="30" t="s">
        <v>58</v>
      </c>
      <c r="F22" s="30"/>
      <c r="G22" s="21"/>
      <c r="H22" s="31" t="str">
        <f>D3</f>
        <v>김경자</v>
      </c>
      <c r="I22" s="31"/>
      <c r="J22" s="31" t="s">
        <v>59</v>
      </c>
      <c r="K22" s="31"/>
      <c r="L22" s="21"/>
      <c r="M22" s="22"/>
    </row>
    <row r="23" spans="2:17" ht="10.55" customHeight="1">
      <c r="B23" s="32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4"/>
    </row>
    <row r="24" spans="2:17" ht="30.05" customHeight="1" thickBot="1">
      <c r="B24" s="23" t="s">
        <v>60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5"/>
    </row>
  </sheetData>
  <mergeCells count="58">
    <mergeCell ref="K6:M6"/>
    <mergeCell ref="C11:E11"/>
    <mergeCell ref="I11:K11"/>
    <mergeCell ref="L11:M11"/>
    <mergeCell ref="B2:M2"/>
    <mergeCell ref="B3:B6"/>
    <mergeCell ref="D3:H3"/>
    <mergeCell ref="I3:J3"/>
    <mergeCell ref="K3:M3"/>
    <mergeCell ref="D4:H4"/>
    <mergeCell ref="I4:J4"/>
    <mergeCell ref="K4:M4"/>
    <mergeCell ref="D5:H5"/>
    <mergeCell ref="I5:J5"/>
    <mergeCell ref="K5:M5"/>
    <mergeCell ref="D6:H6"/>
    <mergeCell ref="I6:J6"/>
    <mergeCell ref="C9:E9"/>
    <mergeCell ref="I9:K9"/>
    <mergeCell ref="L9:M9"/>
    <mergeCell ref="C10:E10"/>
    <mergeCell ref="I10:K10"/>
    <mergeCell ref="L10:M10"/>
    <mergeCell ref="C7:E7"/>
    <mergeCell ref="I7:K7"/>
    <mergeCell ref="L7:M7"/>
    <mergeCell ref="C8:E8"/>
    <mergeCell ref="I8:K8"/>
    <mergeCell ref="L8:M8"/>
    <mergeCell ref="C12:E12"/>
    <mergeCell ref="I12:K12"/>
    <mergeCell ref="L12:M12"/>
    <mergeCell ref="C13:E13"/>
    <mergeCell ref="I13:K13"/>
    <mergeCell ref="L13:M13"/>
    <mergeCell ref="C14:E14"/>
    <mergeCell ref="I14:K14"/>
    <mergeCell ref="L14:M14"/>
    <mergeCell ref="B19:M19"/>
    <mergeCell ref="C15:E15"/>
    <mergeCell ref="I15:K15"/>
    <mergeCell ref="L15:M15"/>
    <mergeCell ref="C16:E16"/>
    <mergeCell ref="I16:K16"/>
    <mergeCell ref="L16:M16"/>
    <mergeCell ref="C17:K17"/>
    <mergeCell ref="L17:M17"/>
    <mergeCell ref="C18:D18"/>
    <mergeCell ref="E18:I18"/>
    <mergeCell ref="J18:L18"/>
    <mergeCell ref="B7:B17"/>
    <mergeCell ref="B24:M24"/>
    <mergeCell ref="B20:M20"/>
    <mergeCell ref="H21:K21"/>
    <mergeCell ref="E22:F22"/>
    <mergeCell ref="H22:I22"/>
    <mergeCell ref="J22:K22"/>
    <mergeCell ref="B23:M23"/>
  </mergeCells>
  <phoneticPr fontId="11" type="noConversion"/>
  <dataValidations count="5">
    <dataValidation type="whole" operator="lessThanOrEqual" allowBlank="1" showInputMessage="1" showErrorMessage="1" errorTitle="금액 입력 오류" error="금액은 정수로 3,000,000원까지만 입력 가능합니다" sqref="L8:M16" xr:uid="{00000000-0002-0000-0000-000000000000}">
      <formula1>3000000</formula1>
    </dataValidation>
    <dataValidation type="list" allowBlank="1" showInputMessage="1" showErrorMessage="1" sqref="H8:H16" xr:uid="{00000000-0002-0000-0000-000001000000}">
      <formula1>$R$4:$R$7</formula1>
    </dataValidation>
    <dataValidation type="list" allowBlank="1" showInputMessage="1" showErrorMessage="1" sqref="F8:F16" xr:uid="{00000000-0002-0000-0000-000002000000}">
      <formula1>"O,X"</formula1>
    </dataValidation>
    <dataValidation type="textLength" operator="equal" allowBlank="1" showInputMessage="1" showErrorMessage="1" errorTitle="주민번호 입력오류" error="주민번호는 하이픈(-)을 제외하고 13자리만 입력하세요" sqref="D4:H4" xr:uid="{00000000-0002-0000-0000-000003000000}">
      <formula1>13</formula1>
    </dataValidation>
    <dataValidation type="list" allowBlank="1" showInputMessage="1" showErrorMessage="1" sqref="K3:M3" xr:uid="{00000000-0002-0000-0000-000004000000}">
      <formula1>$Q$4:$Q$8</formula1>
    </dataValidation>
  </dataValidations>
  <printOptions horizontalCentered="1" verticalCentered="1" headings="1"/>
  <pageMargins left="0.35433070866141736" right="0.43307086614173229" top="0.86614173228346458" bottom="0.39370078740157483" header="0.31496062992125984" footer="0.31496062992125984"/>
  <pageSetup paperSize="9" scale="93" orientation="portrait" r:id="rId1"/>
  <headerFooter>
    <oddFooter>&amp;Rjuno company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application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kyongja kim</dc:creator>
  <cp:lastModifiedBy>34061746</cp:lastModifiedBy>
  <cp:lastPrinted>2021-08-17T03:16:35Z</cp:lastPrinted>
  <dcterms:created xsi:type="dcterms:W3CDTF">2015-11-16T07:22:04Z</dcterms:created>
  <dcterms:modified xsi:type="dcterms:W3CDTF">2021-08-17T03:20:34Z</dcterms:modified>
</cp:coreProperties>
</file>