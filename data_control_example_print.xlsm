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3B8FD6C9-4424-4B4B-A078-9048DA91B89C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Form" sheetId="1" r:id="rId1"/>
    <sheet name="Supplier" sheetId="2" r:id="rId2"/>
  </sheets>
  <definedNames>
    <definedName name="Address">Form!$AC$7</definedName>
    <definedName name="BusinessName">Form!$AC$6</definedName>
    <definedName name="BusinessNumber">Form!$I$6</definedName>
    <definedName name="BusinessType">Form!$I$8</definedName>
    <definedName name="ManagementNumber">Form!$G$5</definedName>
    <definedName name="Name">Form!$I$7</definedName>
    <definedName name="Type">Form!$I$8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9" i="1" l="1"/>
  <c r="P9" i="1"/>
  <c r="G9" i="1"/>
</calcChain>
</file>

<file path=xl/sharedStrings.xml><?xml version="1.0" encoding="utf-8"?>
<sst xmlns="http://schemas.openxmlformats.org/spreadsheetml/2006/main" count="481" uniqueCount="306">
  <si>
    <t>[별지 제33호 서식]</t>
    <phoneticPr fontId="0" type="noConversion"/>
  </si>
  <si>
    <t>(</t>
    <phoneticPr fontId="0" type="noConversion"/>
  </si>
  <si>
    <t>년</t>
    <phoneticPr fontId="0" type="noConversion"/>
  </si>
  <si>
    <t>기</t>
    <phoneticPr fontId="0" type="noConversion"/>
  </si>
  <si>
    <t>)</t>
    <phoneticPr fontId="0" type="noConversion"/>
  </si>
  <si>
    <t>※관리번호</t>
    <phoneticPr fontId="0" type="noConversion"/>
  </si>
  <si>
    <t>①사업자등록번호</t>
    <phoneticPr fontId="0" type="noConversion"/>
  </si>
  <si>
    <t>②상  호(법인명)</t>
    <phoneticPr fontId="0" type="noConversion"/>
  </si>
  <si>
    <t>④사업장 소재지</t>
    <phoneticPr fontId="0" type="noConversion"/>
  </si>
  <si>
    <t>⑤업              태</t>
    <phoneticPr fontId="0" type="noConversion"/>
  </si>
  <si>
    <t>⑥종             목</t>
    <phoneticPr fontId="0" type="noConversion"/>
  </si>
  <si>
    <t>⑦ 거래 기간</t>
    <phoneticPr fontId="0" type="noConversion"/>
  </si>
  <si>
    <t>~</t>
    <phoneticPr fontId="0" type="noConversion"/>
  </si>
  <si>
    <t>⑧ 작 성 일 자</t>
    <phoneticPr fontId="0" type="noConversion"/>
  </si>
  <si>
    <t>구   분</t>
    <phoneticPr fontId="0" type="noConversion"/>
  </si>
  <si>
    <t>⑨매입
   처수</t>
    <phoneticPr fontId="0" type="noConversion"/>
  </si>
  <si>
    <t>⑩매수</t>
    <phoneticPr fontId="0" type="noConversion"/>
  </si>
  <si>
    <t xml:space="preserve"> ⑪ 공   급   가   액</t>
    <phoneticPr fontId="0" type="noConversion"/>
  </si>
  <si>
    <t>⑫ 세                  액</t>
    <phoneticPr fontId="0" type="noConversion"/>
  </si>
  <si>
    <t>조</t>
    <phoneticPr fontId="0" type="noConversion"/>
  </si>
  <si>
    <t>십억</t>
    <phoneticPr fontId="0" type="noConversion"/>
  </si>
  <si>
    <t>백만</t>
    <phoneticPr fontId="0" type="noConversion"/>
  </si>
  <si>
    <t>천</t>
    <phoneticPr fontId="0" type="noConversion"/>
  </si>
  <si>
    <t>일</t>
    <phoneticPr fontId="0" type="noConversion"/>
  </si>
  <si>
    <t>합     계</t>
    <phoneticPr fontId="0" type="noConversion"/>
  </si>
  <si>
    <t>번호</t>
    <phoneticPr fontId="0" type="noConversion"/>
  </si>
  <si>
    <t>매수</t>
    <phoneticPr fontId="0" type="noConversion"/>
  </si>
  <si>
    <t>공란수</t>
    <phoneticPr fontId="0" type="noConversion"/>
  </si>
  <si>
    <t>공   급   가   액</t>
    <phoneticPr fontId="0" type="noConversion"/>
  </si>
  <si>
    <t xml:space="preserve"> 세                  액</t>
    <phoneticPr fontId="0" type="noConversion"/>
  </si>
  <si>
    <t>비고</t>
  </si>
  <si>
    <t>설립일자</t>
  </si>
  <si>
    <t>자본금</t>
  </si>
  <si>
    <t>필드터프승목 주식회사</t>
    <phoneticPr fontId="0" type="noConversion"/>
  </si>
  <si>
    <t>건설업</t>
  </si>
  <si>
    <t>조경공사</t>
  </si>
  <si>
    <t>(주)제이비씨코퍼레이숀</t>
    <phoneticPr fontId="0" type="noConversion"/>
  </si>
  <si>
    <t>도소매</t>
  </si>
  <si>
    <t>무역</t>
  </si>
  <si>
    <t>주식회사에이팩토리</t>
    <phoneticPr fontId="0" type="noConversion"/>
  </si>
  <si>
    <t>(주)씨버드</t>
    <phoneticPr fontId="0" type="noConversion"/>
  </si>
  <si>
    <t>대운교역주식회사</t>
    <phoneticPr fontId="0" type="noConversion"/>
  </si>
  <si>
    <t>주식회사협신</t>
    <phoneticPr fontId="0" type="noConversion"/>
  </si>
  <si>
    <t>냉동수산물</t>
  </si>
  <si>
    <t>(주)대강수산</t>
    <phoneticPr fontId="0" type="noConversion"/>
  </si>
  <si>
    <t>(주)한솔물산</t>
    <phoneticPr fontId="0" type="noConversion"/>
  </si>
  <si>
    <t>삼호에프엠주식회사</t>
    <phoneticPr fontId="0" type="noConversion"/>
  </si>
  <si>
    <t>(주)강서인더스트리</t>
    <phoneticPr fontId="0" type="noConversion"/>
  </si>
  <si>
    <t>주식회사동우인터내쇼날</t>
    <phoneticPr fontId="0" type="noConversion"/>
  </si>
  <si>
    <t>농수산물</t>
  </si>
  <si>
    <t>(주)명성종합서비스</t>
  </si>
  <si>
    <t>선용품공급</t>
  </si>
  <si>
    <t>(주)동원물산</t>
    <phoneticPr fontId="0" type="noConversion"/>
  </si>
  <si>
    <t>건강식품</t>
  </si>
  <si>
    <t>(주)반석종합석재</t>
    <phoneticPr fontId="0" type="noConversion"/>
  </si>
  <si>
    <t>석자재</t>
  </si>
  <si>
    <t>주식회사 삼진티씨</t>
    <phoneticPr fontId="0" type="noConversion"/>
  </si>
  <si>
    <t>의류</t>
  </si>
  <si>
    <t>(주)아트인터내셔날</t>
    <phoneticPr fontId="0" type="noConversion"/>
  </si>
  <si>
    <t>건축자재</t>
  </si>
  <si>
    <t>(주)만어수산</t>
  </si>
  <si>
    <t>수산물</t>
  </si>
  <si>
    <t>주식회사우드뱅크</t>
  </si>
  <si>
    <t>목재．합판</t>
  </si>
  <si>
    <t>유한회사경진목재</t>
    <phoneticPr fontId="0" type="noConversion"/>
  </si>
  <si>
    <t>목재</t>
  </si>
  <si>
    <t>(주)이오푸드</t>
  </si>
  <si>
    <t>(주)천일인더스트리</t>
  </si>
  <si>
    <t>재봉기계</t>
  </si>
  <si>
    <t>티케이공구(주)</t>
  </si>
  <si>
    <t>기계공구</t>
  </si>
  <si>
    <t>스피드(주)</t>
  </si>
  <si>
    <t>도매</t>
  </si>
  <si>
    <t>(주)베스트마린씨푸드</t>
  </si>
  <si>
    <t>은성트레이딩 주식회사</t>
  </si>
  <si>
    <t>무역（유리）</t>
  </si>
  <si>
    <t>(주)철국</t>
  </si>
  <si>
    <t>제이케이월드 주식회사</t>
    <phoneticPr fontId="0" type="noConversion"/>
  </si>
  <si>
    <t>(주)에이치리프로모션</t>
  </si>
  <si>
    <t>(주)제이플러스</t>
    <phoneticPr fontId="0" type="noConversion"/>
  </si>
  <si>
    <t>무역업</t>
  </si>
  <si>
    <t>(주)에이블텍</t>
  </si>
  <si>
    <t>(주)엔시스</t>
    <phoneticPr fontId="0" type="noConversion"/>
  </si>
  <si>
    <t>(주)에오커뮤니케이션</t>
  </si>
  <si>
    <t>(주)재형수산</t>
  </si>
  <si>
    <t>(주)구보상사</t>
  </si>
  <si>
    <t>(주)부전무역</t>
  </si>
  <si>
    <t>(주)씨월드코리아</t>
  </si>
  <si>
    <t>(주)남경테크</t>
  </si>
  <si>
    <t>화공약품</t>
  </si>
  <si>
    <t>성호특수강(주)</t>
  </si>
  <si>
    <t>스텐레스</t>
  </si>
  <si>
    <t>주식회사 웰텍</t>
  </si>
  <si>
    <t>(주)간구무역</t>
  </si>
  <si>
    <t>기타무역</t>
  </si>
  <si>
    <t>금호글로벌주식회사</t>
    <phoneticPr fontId="0" type="noConversion"/>
  </si>
  <si>
    <t>(주)디앤에프</t>
  </si>
  <si>
    <t>수산물수입</t>
  </si>
  <si>
    <t>하이넷코리아(주)</t>
  </si>
  <si>
    <t>(주)윤쉽핑</t>
    <phoneticPr fontId="0" type="noConversion"/>
  </si>
  <si>
    <t>(주)대주엔텍</t>
  </si>
  <si>
    <t>동아푸드뱅크주식회사</t>
  </si>
  <si>
    <t>(주)제이앤에이치트레이딩</t>
    <phoneticPr fontId="0" type="noConversion"/>
  </si>
  <si>
    <t>(주)삼경코프레이션</t>
  </si>
  <si>
    <t>무역（신발）</t>
  </si>
  <si>
    <t>(주)욱일무역</t>
  </si>
  <si>
    <t>주식회사플러스원</t>
  </si>
  <si>
    <t>선박용부품</t>
  </si>
  <si>
    <t>(주)아미물산</t>
  </si>
  <si>
    <t>(주)성아무역</t>
  </si>
  <si>
    <t>삼호목재㈜</t>
    <phoneticPr fontId="0" type="noConversion"/>
  </si>
  <si>
    <t>(주)팍스무역</t>
  </si>
  <si>
    <t>(주)금양스틸</t>
  </si>
  <si>
    <t>스텐레스강</t>
  </si>
  <si>
    <t>삼주코포레이션주식회사</t>
  </si>
  <si>
    <t>(주)거성티엔씨</t>
  </si>
  <si>
    <t>주식회사 제원</t>
  </si>
  <si>
    <t>선용품</t>
  </si>
  <si>
    <t>유니콘코퍼레이션(주)</t>
  </si>
  <si>
    <t>태유강업(주)</t>
  </si>
  <si>
    <t>철재</t>
  </si>
  <si>
    <t>(주)팬라이프코리아</t>
  </si>
  <si>
    <t>가정용전기기기</t>
  </si>
  <si>
    <t>(주)시티통상</t>
  </si>
  <si>
    <t>무역（수출）</t>
  </si>
  <si>
    <t>(주)제이케이</t>
  </si>
  <si>
    <t>중고기계수입판매업</t>
  </si>
  <si>
    <t>(주)가나무역</t>
  </si>
  <si>
    <t>주식회사 평화무역</t>
    <phoneticPr fontId="0" type="noConversion"/>
  </si>
  <si>
    <t>무역（수출입）</t>
  </si>
  <si>
    <t>케이．엘．디이 주식회사</t>
  </si>
  <si>
    <t>(주)월드펌</t>
  </si>
  <si>
    <t>농축산물수출입</t>
  </si>
  <si>
    <t>(주)티케이</t>
  </si>
  <si>
    <t>에스엠이주식회사</t>
  </si>
  <si>
    <t>(주)거창</t>
  </si>
  <si>
    <t>주식회사 효진인터내셔날</t>
  </si>
  <si>
    <t>세명무역상사(주)</t>
  </si>
  <si>
    <t>연산철판(주)</t>
  </si>
  <si>
    <t>철판</t>
  </si>
  <si>
    <t>(주)마창카오디오</t>
    <phoneticPr fontId="0" type="noConversion"/>
  </si>
  <si>
    <t>카오디오</t>
  </si>
  <si>
    <t>(주)동방수산</t>
    <phoneticPr fontId="0" type="noConversion"/>
  </si>
  <si>
    <t>주식회사 켐우드</t>
    <phoneticPr fontId="0" type="noConversion"/>
  </si>
  <si>
    <t>화공약품．목재</t>
  </si>
  <si>
    <t>(주)위드골드닷컴</t>
    <phoneticPr fontId="0" type="noConversion"/>
  </si>
  <si>
    <t>서비스</t>
  </si>
  <si>
    <t>소프트웨어개발</t>
  </si>
  <si>
    <t>(주)스케쳐스 코리아</t>
    <phoneticPr fontId="0" type="noConversion"/>
  </si>
  <si>
    <t>수출주선</t>
  </si>
  <si>
    <t>(주)에이케이라인</t>
    <phoneticPr fontId="0" type="noConversion"/>
  </si>
  <si>
    <t>해운중개</t>
  </si>
  <si>
    <t>태평양환경방제 주식회사</t>
    <phoneticPr fontId="0" type="noConversion"/>
  </si>
  <si>
    <t>방역및청소</t>
  </si>
  <si>
    <t>대양피셔리㈜</t>
    <phoneticPr fontId="0" type="noConversion"/>
  </si>
  <si>
    <t>어업</t>
  </si>
  <si>
    <t>채낚기</t>
  </si>
  <si>
    <t>장미라</t>
    <phoneticPr fontId="0" type="noConversion"/>
  </si>
  <si>
    <t>박태순</t>
  </si>
  <si>
    <t>이승모</t>
  </si>
  <si>
    <t>김혜란</t>
  </si>
  <si>
    <t>문한필</t>
  </si>
  <si>
    <t>박준범</t>
  </si>
  <si>
    <t>이몽호</t>
  </si>
  <si>
    <t>박재승</t>
  </si>
  <si>
    <t>변혜정</t>
  </si>
  <si>
    <t>윤왕로</t>
  </si>
  <si>
    <t>변정운</t>
  </si>
  <si>
    <t>김원태</t>
  </si>
  <si>
    <t>이순희</t>
  </si>
  <si>
    <t>장석민</t>
  </si>
  <si>
    <t>김경열</t>
  </si>
  <si>
    <t>이지훈</t>
  </si>
  <si>
    <t>전희섭</t>
  </si>
  <si>
    <t>윤동주</t>
  </si>
  <si>
    <t>황명구</t>
  </si>
  <si>
    <t>이진숙</t>
  </si>
  <si>
    <t>방기정</t>
  </si>
  <si>
    <t>손재규</t>
  </si>
  <si>
    <t>김종인</t>
  </si>
  <si>
    <t>김승환</t>
  </si>
  <si>
    <t>김관주</t>
  </si>
  <si>
    <t>정봉구</t>
  </si>
  <si>
    <t>김창태</t>
  </si>
  <si>
    <t>안기정</t>
  </si>
  <si>
    <t>이재희</t>
  </si>
  <si>
    <t>김영석</t>
  </si>
  <si>
    <t>김건무</t>
  </si>
  <si>
    <t>구본행</t>
  </si>
  <si>
    <t>성기소</t>
  </si>
  <si>
    <t>박세훈</t>
  </si>
  <si>
    <t>정삼철</t>
  </si>
  <si>
    <t>이철종</t>
  </si>
  <si>
    <t>한국염</t>
  </si>
  <si>
    <t>한석수</t>
  </si>
  <si>
    <t>함창모</t>
  </si>
  <si>
    <t>방수용</t>
  </si>
  <si>
    <t>박동규</t>
  </si>
  <si>
    <t>장준식</t>
  </si>
  <si>
    <t>류훈모</t>
  </si>
  <si>
    <t>양성모</t>
  </si>
  <si>
    <t>임청산</t>
  </si>
  <si>
    <t>이정희</t>
  </si>
  <si>
    <t>박종섭</t>
  </si>
  <si>
    <t>이수한</t>
  </si>
  <si>
    <t>이재원</t>
  </si>
  <si>
    <t>박재명</t>
  </si>
  <si>
    <t>최정빈</t>
  </si>
  <si>
    <t>심순애</t>
  </si>
  <si>
    <t>신찬인</t>
  </si>
  <si>
    <t>김광수</t>
  </si>
  <si>
    <t>우광진</t>
  </si>
  <si>
    <t>이상수</t>
  </si>
  <si>
    <t>김인석</t>
  </si>
  <si>
    <t>김영준</t>
  </si>
  <si>
    <t>서기자</t>
  </si>
  <si>
    <t>구연희</t>
  </si>
  <si>
    <t>윤정아</t>
  </si>
  <si>
    <t>전예정</t>
  </si>
  <si>
    <t>고세웅</t>
  </si>
  <si>
    <t>김홍미</t>
  </si>
  <si>
    <t>양명순</t>
  </si>
  <si>
    <t>박태영</t>
  </si>
  <si>
    <t>윤명한</t>
  </si>
  <si>
    <t>박영선</t>
  </si>
  <si>
    <t>윤영돈</t>
  </si>
  <si>
    <t>김태영</t>
  </si>
  <si>
    <t>이은영</t>
  </si>
  <si>
    <t>이준희</t>
  </si>
  <si>
    <t>전경구</t>
  </si>
  <si>
    <t>백광호</t>
  </si>
  <si>
    <t>송대헌</t>
  </si>
  <si>
    <t>케이막스</t>
  </si>
  <si>
    <t>서울시 강남구 일원동</t>
  </si>
  <si>
    <t>경기도 안양시 동안구</t>
  </si>
  <si>
    <t>경기도 군포시 금정동</t>
  </si>
  <si>
    <t>서울 광진 자양</t>
  </si>
  <si>
    <t>경기도 시흥시 정왕동</t>
  </si>
  <si>
    <t>경기도 여주군 가남면</t>
  </si>
  <si>
    <t>서울 중구 을지로6가</t>
  </si>
  <si>
    <t>서울 서초구 서초3동</t>
  </si>
  <si>
    <t>서울 영등포구 문래동6가</t>
  </si>
  <si>
    <t>서울 마포구 성산2동</t>
  </si>
  <si>
    <t>서울 마포구 동교동</t>
  </si>
  <si>
    <t>서울 중구 중림동</t>
  </si>
  <si>
    <t>서울 강남구 역삼1동</t>
  </si>
  <si>
    <t>서울시 강남구 논현동</t>
  </si>
  <si>
    <t>경기 성남시 분당구</t>
  </si>
  <si>
    <t>서울 서초구 서초2동</t>
  </si>
  <si>
    <t>서울시 강남구 오성1동</t>
  </si>
  <si>
    <t>서울 강남구 역삼2동</t>
  </si>
  <si>
    <t>서울 송파구 잠실1동</t>
  </si>
  <si>
    <t>서울 서초구 서초동</t>
  </si>
  <si>
    <t>인천 부평구 부평1동</t>
  </si>
  <si>
    <t>경기 성남시 중원구</t>
  </si>
  <si>
    <t>경기 용인시 수지구</t>
  </si>
  <si>
    <t>서울 강남구 역삼동</t>
  </si>
  <si>
    <t>경기도 광주시 도척면</t>
  </si>
  <si>
    <t>서울시 양천구 신정동</t>
  </si>
  <si>
    <t>서울 영등포구 여의도동</t>
  </si>
  <si>
    <t>서울 서초구 서초1동</t>
  </si>
  <si>
    <t>서울특별시 서초구 양재동</t>
  </si>
  <si>
    <t>서울 중구 장교동</t>
  </si>
  <si>
    <t>경기 시흥시 대야동</t>
  </si>
  <si>
    <t>서울 송파구 신천동</t>
  </si>
  <si>
    <t>인천광역시 남동구 남촌동</t>
  </si>
  <si>
    <t>경기도 동두천시 상봉암동</t>
  </si>
  <si>
    <t>서울 금천구 독산1동</t>
  </si>
  <si>
    <t>경기 광명시 하안동</t>
  </si>
  <si>
    <t>경기 남양주시 화도읍</t>
  </si>
  <si>
    <t>경기 부천시 오정구</t>
  </si>
  <si>
    <t>경기도 동두천시 상패동</t>
  </si>
  <si>
    <t>경기도 고양시 덕양구</t>
  </si>
  <si>
    <t>경기도 용인시 남사면</t>
  </si>
  <si>
    <t>서울특별시 구로구 구로동</t>
  </si>
  <si>
    <t>서울 중구 회현동2가</t>
  </si>
  <si>
    <t>서울시 강서구 가양</t>
  </si>
  <si>
    <t>서울 도봉구 창2동</t>
  </si>
  <si>
    <t>인천 계양구 효성2동</t>
  </si>
  <si>
    <t>경기도 안양시 만안구</t>
  </si>
  <si>
    <t>경기도 화성시 동탄면</t>
  </si>
  <si>
    <t>서울시 금천구 가산동</t>
  </si>
  <si>
    <t>서울특별시 강남구 논현동</t>
  </si>
  <si>
    <t>서울 강남구 오성1동</t>
  </si>
  <si>
    <t>서울 강남구 청담1동</t>
  </si>
  <si>
    <t>서울 강남구 대치동</t>
  </si>
  <si>
    <t>서울 중구 다동</t>
  </si>
  <si>
    <t>서울 강남구 대치4동</t>
  </si>
  <si>
    <t>경기 의왕시 오전동</t>
  </si>
  <si>
    <t>서울 도봉구 방학2동</t>
  </si>
  <si>
    <t>서울 금천구 가산동</t>
  </si>
  <si>
    <t>냉동수산물,생선</t>
  </si>
  <si>
    <t>무역,건축자재</t>
  </si>
  <si>
    <t>파지,고철,비철</t>
  </si>
  <si>
    <t>섬유,화학</t>
  </si>
  <si>
    <t>의류,내의</t>
  </si>
  <si>
    <t>수산물,수산물수출입</t>
  </si>
  <si>
    <t>매입처 거래명세서</t>
    <phoneticPr fontId="0" type="noConversion"/>
  </si>
  <si>
    <t>①사업자등록번호</t>
    <phoneticPr fontId="8" type="noConversion"/>
  </si>
  <si>
    <t>③성    명(대표자)</t>
    <phoneticPr fontId="0" type="noConversion"/>
  </si>
  <si>
    <t>②상호</t>
    <phoneticPr fontId="8" type="noConversion"/>
  </si>
  <si>
    <t>④사업장 소재지</t>
    <phoneticPr fontId="8" type="noConversion"/>
  </si>
  <si>
    <t>⑤업태</t>
    <phoneticPr fontId="8" type="noConversion"/>
  </si>
  <si>
    <t>⑥종목</t>
    <phoneticPr fontId="8" type="noConversion"/>
  </si>
  <si>
    <t>③성명</t>
    <phoneticPr fontId="8" type="noConversion"/>
  </si>
  <si>
    <t>2016-51285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</si>
</sst>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###\-##\-#####"/>
    <numFmt numFmtId="165" formatCode="mm&quot;월&quot;\ dd&quot;일&quot;"/>
  </numFmts>
  <fonts count="9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0"/>
      <name val="Calibri"/>
      <family val="3"/>
      <charset val="129"/>
      <scheme val="minor"/>
    </font>
    <font>
      <b/>
      <sz val="22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0"/>
      <name val="돋움"/>
      <family val="3"/>
      <charset val="129"/>
    </font>
    <font>
      <b/>
      <sz val="11"/>
      <name val="Calibri"/>
      <family val="3"/>
      <charset val="129"/>
      <scheme val="minor"/>
    </font>
    <font>
      <sz val="11"/>
      <name val="돋움"/>
      <family val="3"/>
      <charset val="129"/>
    </font>
    <font>
      <sz val="8"/>
      <name val="Calibri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1"/>
      </bottom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0" fontId="5" fillId="0" borderId="0"/>
    <xf numFmtId="0" fontId="7" fillId="0" borderId="0"/>
  </cellStyleXfs>
  <cellXfs count="104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0" fontId="4" fillId="2" borderId="8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4" fillId="0" borderId="20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164" fontId="4" fillId="0" borderId="0" xfId="2" applyNumberFormat="1" applyFont="1" applyFill="1" applyBorder="1" applyAlignment="1" applyProtection="1">
      <alignment horizontal="center" vertical="center"/>
      <protection locked="0"/>
    </xf>
    <xf numFmtId="49" fontId="4" fillId="0" borderId="0" xfId="2" applyNumberFormat="1" applyFont="1" applyFill="1" applyBorder="1" applyAlignment="1" applyProtection="1">
      <alignment horizontal="left" vertical="center"/>
      <protection locked="0"/>
    </xf>
    <xf numFmtId="0" fontId="4" fillId="0" borderId="0" xfId="2" applyFont="1" applyFill="1" applyBorder="1" applyAlignment="1" applyProtection="1">
      <alignment horizontal="center" vertical="center"/>
      <protection locked="0"/>
    </xf>
    <xf numFmtId="14" fontId="4" fillId="0" borderId="0" xfId="2" applyNumberFormat="1" applyFont="1" applyFill="1" applyBorder="1" applyAlignment="1" applyProtection="1">
      <alignment horizontal="center" vertical="center"/>
      <protection locked="0"/>
    </xf>
    <xf numFmtId="41" fontId="4" fillId="0" borderId="0" xfId="1" applyFont="1" applyFill="1" applyBorder="1" applyAlignment="1" applyProtection="1">
      <alignment horizontal="right" vertical="center"/>
      <protection locked="0"/>
    </xf>
    <xf numFmtId="0" fontId="4" fillId="0" borderId="0" xfId="2" applyFont="1" applyFill="1" applyBorder="1" applyAlignment="1" applyProtection="1">
      <alignment horizontal="left" vertical="center"/>
      <protection locked="0"/>
    </xf>
    <xf numFmtId="49" fontId="4" fillId="0" borderId="0" xfId="2" applyNumberFormat="1" applyFont="1" applyFill="1" applyBorder="1" applyAlignment="1" applyProtection="1">
      <alignment horizontal="center" vertical="center"/>
      <protection locked="0"/>
    </xf>
    <xf numFmtId="164" fontId="4" fillId="0" borderId="35" xfId="2" applyNumberFormat="1" applyFont="1" applyFill="1" applyBorder="1" applyAlignment="1" applyProtection="1">
      <alignment horizontal="center" vertical="center"/>
      <protection locked="0"/>
    </xf>
    <xf numFmtId="49" fontId="4" fillId="0" borderId="36" xfId="2" applyNumberFormat="1" applyFont="1" applyFill="1" applyBorder="1" applyAlignment="1" applyProtection="1">
      <alignment horizontal="left" vertical="center"/>
      <protection locked="0"/>
    </xf>
    <xf numFmtId="49" fontId="4" fillId="0" borderId="36" xfId="2" applyNumberFormat="1" applyFont="1" applyFill="1" applyBorder="1" applyAlignment="1" applyProtection="1">
      <alignment horizontal="center" vertical="center"/>
      <protection locked="0"/>
    </xf>
    <xf numFmtId="14" fontId="4" fillId="0" borderId="36" xfId="2" applyNumberFormat="1" applyFont="1" applyFill="1" applyBorder="1" applyAlignment="1" applyProtection="1">
      <alignment horizontal="center" vertical="center"/>
      <protection locked="0"/>
    </xf>
    <xf numFmtId="41" fontId="4" fillId="0" borderId="36" xfId="1" applyFont="1" applyFill="1" applyBorder="1" applyAlignment="1" applyProtection="1">
      <alignment horizontal="right" vertical="center"/>
      <protection locked="0"/>
    </xf>
    <xf numFmtId="0" fontId="4" fillId="0" borderId="36" xfId="2" applyFont="1" applyFill="1" applyBorder="1" applyAlignment="1" applyProtection="1">
      <alignment horizontal="center" vertical="center"/>
      <protection locked="0"/>
    </xf>
    <xf numFmtId="0" fontId="4" fillId="0" borderId="36" xfId="2" applyFont="1" applyFill="1" applyBorder="1" applyAlignment="1" applyProtection="1">
      <alignment horizontal="left" vertical="center"/>
      <protection locked="0"/>
    </xf>
    <xf numFmtId="0" fontId="0" fillId="0" borderId="37" xfId="0" applyBorder="1"/>
    <xf numFmtId="164" fontId="4" fillId="0" borderId="38" xfId="2" applyNumberFormat="1" applyFont="1" applyFill="1" applyBorder="1" applyAlignment="1" applyProtection="1">
      <alignment horizontal="center" vertical="center"/>
      <protection locked="0"/>
    </xf>
    <xf numFmtId="49" fontId="4" fillId="0" borderId="39" xfId="2" applyNumberFormat="1" applyFont="1" applyFill="1" applyBorder="1" applyAlignment="1" applyProtection="1">
      <alignment horizontal="left" vertical="center"/>
      <protection locked="0"/>
    </xf>
    <xf numFmtId="49" fontId="4" fillId="0" borderId="39" xfId="2" applyNumberFormat="1" applyFont="1" applyFill="1" applyBorder="1" applyAlignment="1" applyProtection="1">
      <alignment horizontal="center" vertical="center"/>
      <protection locked="0"/>
    </xf>
    <xf numFmtId="14" fontId="4" fillId="0" borderId="39" xfId="2" applyNumberFormat="1" applyFont="1" applyFill="1" applyBorder="1" applyAlignment="1" applyProtection="1">
      <alignment horizontal="center" vertical="center"/>
      <protection locked="0"/>
    </xf>
    <xf numFmtId="41" fontId="4" fillId="0" borderId="39" xfId="1" applyFont="1" applyFill="1" applyBorder="1" applyAlignment="1" applyProtection="1">
      <alignment horizontal="right" vertical="center"/>
      <protection locked="0"/>
    </xf>
    <xf numFmtId="0" fontId="4" fillId="0" borderId="39" xfId="2" applyFont="1" applyFill="1" applyBorder="1" applyAlignment="1" applyProtection="1">
      <alignment horizontal="center" vertical="center"/>
      <protection locked="0"/>
    </xf>
    <xf numFmtId="0" fontId="4" fillId="0" borderId="39" xfId="2" applyFont="1" applyFill="1" applyBorder="1" applyAlignment="1" applyProtection="1">
      <alignment horizontal="left" vertical="center"/>
      <protection locked="0"/>
    </xf>
    <xf numFmtId="0" fontId="0" fillId="0" borderId="40" xfId="0" applyBorder="1"/>
    <xf numFmtId="164" fontId="6" fillId="3" borderId="32" xfId="2" applyNumberFormat="1" applyFont="1" applyFill="1" applyBorder="1" applyAlignment="1" applyProtection="1">
      <alignment horizontal="center" vertical="center"/>
      <protection locked="0"/>
    </xf>
    <xf numFmtId="0" fontId="6" fillId="3" borderId="33" xfId="2" applyFont="1" applyFill="1" applyBorder="1" applyAlignment="1" applyProtection="1">
      <alignment horizontal="center" vertical="center"/>
      <protection locked="0"/>
    </xf>
    <xf numFmtId="14" fontId="6" fillId="3" borderId="33" xfId="2" applyNumberFormat="1" applyFont="1" applyFill="1" applyBorder="1" applyAlignment="1" applyProtection="1">
      <alignment horizontal="center" vertical="center"/>
      <protection locked="0"/>
    </xf>
    <xf numFmtId="41" fontId="6" fillId="3" borderId="33" xfId="1" applyFont="1" applyFill="1" applyBorder="1" applyAlignment="1" applyProtection="1">
      <alignment horizontal="center" vertical="center"/>
      <protection locked="0"/>
    </xf>
    <xf numFmtId="0" fontId="6" fillId="3" borderId="34" xfId="2" applyFont="1" applyFill="1" applyBorder="1" applyAlignment="1" applyProtection="1">
      <alignment horizontal="center" vertical="center"/>
      <protection locked="0"/>
    </xf>
    <xf numFmtId="0" fontId="4" fillId="2" borderId="23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1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0" fontId="4" fillId="0" borderId="21" xfId="0" applyFont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0" borderId="10" xfId="0" applyNumberFormat="1" applyFont="1" applyBorder="1" applyAlignment="1">
      <alignment horizontal="center" vertical="center"/>
    </xf>
    <xf numFmtId="0" fontId="4" fillId="0" borderId="11" xfId="0" applyNumberFormat="1" applyFont="1" applyBorder="1" applyAlignment="1">
      <alignment horizontal="center" vertical="center"/>
    </xf>
    <xf numFmtId="0" fontId="4" fillId="0" borderId="12" xfId="0" applyNumberFormat="1" applyFont="1" applyBorder="1" applyAlignment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2" borderId="21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5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</cellXfs>
  <cellStyles count="4">
    <cellStyle name="Comma [0]" xfId="1" builtinId="6"/>
    <cellStyle name="Normal" xfId="0" builtinId="0"/>
    <cellStyle name="표준 12" xfId="3" xr:uid="{00000000-0005-0000-0000-000002000000}"/>
    <cellStyle name="표준_외부데이터가공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133643</xdr:colOff>
          <xdr:row>1</xdr:row>
          <xdr:rowOff>196948</xdr:rowOff>
        </xdr:from>
        <xdr:to>
          <xdr:col>37</xdr:col>
          <xdr:colOff>182880</xdr:colOff>
          <xdr:row>3</xdr:row>
          <xdr:rowOff>98474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N37"/>
  <sheetViews>
    <sheetView showGridLines="0" tabSelected="1" zoomScaleNormal="100" workbookViewId="0">
      <selection activeCell="AR3" sqref="AR3"/>
    </sheetView>
  </sheetViews>
  <sheetFormatPr defaultRowHeight="14.4"/>
  <cols>
    <col min="1" max="39" width="2.69921875" style="1" customWidth="1"/>
    <col min="40" max="40" width="2.19921875" style="1" customWidth="1"/>
  </cols>
  <sheetData>
    <row r="1" spans="1:40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4"/>
    </row>
    <row r="2" spans="1:40" ht="28.8">
      <c r="A2" s="66" t="s">
        <v>297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8"/>
    </row>
    <row r="3" spans="1:40" ht="17.350000000000001" customHeight="1">
      <c r="A3" s="2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 t="s">
        <v>1</v>
      </c>
      <c r="Q3" s="69">
        <v>2016</v>
      </c>
      <c r="R3" s="69"/>
      <c r="S3" s="69"/>
      <c r="T3" s="69"/>
      <c r="U3" s="2" t="s">
        <v>2</v>
      </c>
      <c r="V3" s="70">
        <v>1</v>
      </c>
      <c r="W3" s="70"/>
      <c r="X3" s="2" t="s">
        <v>3</v>
      </c>
      <c r="Y3" s="2" t="s">
        <v>4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6"/>
      <c r="AN3" s="4"/>
    </row>
    <row r="4" spans="1:40" ht="17.350000000000001" customHeight="1">
      <c r="A4" s="25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6"/>
      <c r="AN4" s="4"/>
    </row>
    <row r="5" spans="1:40" ht="17.350000000000001" customHeight="1">
      <c r="A5" s="71" t="s">
        <v>5</v>
      </c>
      <c r="B5" s="64"/>
      <c r="C5" s="64"/>
      <c r="D5" s="64"/>
      <c r="E5" s="64"/>
      <c r="F5" s="64"/>
      <c r="G5" s="64" t="s">
        <v>305</v>
      </c>
      <c r="H5" s="64"/>
      <c r="I5" s="64"/>
      <c r="J5" s="64"/>
      <c r="K5" s="64"/>
      <c r="L5" s="64"/>
      <c r="M5" s="64"/>
      <c r="N5" s="64"/>
      <c r="O5" s="5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27"/>
      <c r="AN5" s="4"/>
    </row>
    <row r="6" spans="1:40" ht="17.350000000000001" customHeight="1">
      <c r="A6" s="57" t="s">
        <v>6</v>
      </c>
      <c r="B6" s="58"/>
      <c r="C6" s="58"/>
      <c r="D6" s="58"/>
      <c r="E6" s="58"/>
      <c r="F6" s="58"/>
      <c r="G6" s="58"/>
      <c r="H6" s="59"/>
      <c r="I6" s="60">
        <v>6058151285</v>
      </c>
      <c r="J6" s="61"/>
      <c r="K6" s="61"/>
      <c r="L6" s="61"/>
      <c r="M6" s="61"/>
      <c r="N6" s="61"/>
      <c r="O6" s="61"/>
      <c r="P6" s="61"/>
      <c r="Q6" s="61"/>
      <c r="R6" s="61"/>
      <c r="S6" s="61"/>
      <c r="T6" s="62"/>
      <c r="U6" s="63" t="s">
        <v>7</v>
      </c>
      <c r="V6" s="63"/>
      <c r="W6" s="63"/>
      <c r="X6" s="63"/>
      <c r="Y6" s="63"/>
      <c r="Z6" s="63"/>
      <c r="AA6" s="63"/>
      <c r="AB6" s="63"/>
      <c r="AC6" s="64" t="s">
        <v>115</v>
      </c>
      <c r="AD6" s="64"/>
      <c r="AE6" s="64"/>
      <c r="AF6" s="64"/>
      <c r="AG6" s="64"/>
      <c r="AH6" s="64"/>
      <c r="AI6" s="64"/>
      <c r="AJ6" s="64"/>
      <c r="AK6" s="64"/>
      <c r="AL6" s="64"/>
      <c r="AM6" s="65"/>
      <c r="AN6" s="4"/>
    </row>
    <row r="7" spans="1:40" ht="17.350000000000001" customHeight="1">
      <c r="A7" s="57" t="s">
        <v>299</v>
      </c>
      <c r="B7" s="58"/>
      <c r="C7" s="58"/>
      <c r="D7" s="58"/>
      <c r="E7" s="58"/>
      <c r="F7" s="58"/>
      <c r="G7" s="58"/>
      <c r="H7" s="59"/>
      <c r="I7" s="74" t="s">
        <v>161</v>
      </c>
      <c r="J7" s="75"/>
      <c r="K7" s="75"/>
      <c r="L7" s="75"/>
      <c r="M7" s="75"/>
      <c r="N7" s="75"/>
      <c r="O7" s="75"/>
      <c r="P7" s="75"/>
      <c r="Q7" s="75"/>
      <c r="R7" s="75"/>
      <c r="S7" s="75"/>
      <c r="T7" s="76"/>
      <c r="U7" s="63" t="s">
        <v>8</v>
      </c>
      <c r="V7" s="63"/>
      <c r="W7" s="63"/>
      <c r="X7" s="63"/>
      <c r="Y7" s="63"/>
      <c r="Z7" s="63"/>
      <c r="AA7" s="63"/>
      <c r="AB7" s="63"/>
      <c r="AC7" s="77" t="s">
        <v>237</v>
      </c>
      <c r="AD7" s="77"/>
      <c r="AE7" s="77"/>
      <c r="AF7" s="77"/>
      <c r="AG7" s="77"/>
      <c r="AH7" s="77"/>
      <c r="AI7" s="77"/>
      <c r="AJ7" s="77"/>
      <c r="AK7" s="77"/>
      <c r="AL7" s="77"/>
      <c r="AM7" s="78"/>
      <c r="AN7" s="4"/>
    </row>
    <row r="8" spans="1:40" ht="17.350000000000001" customHeight="1">
      <c r="A8" s="57" t="s">
        <v>9</v>
      </c>
      <c r="B8" s="58"/>
      <c r="C8" s="58"/>
      <c r="D8" s="58"/>
      <c r="E8" s="58"/>
      <c r="F8" s="58"/>
      <c r="G8" s="58"/>
      <c r="H8" s="59"/>
      <c r="I8" s="74" t="s">
        <v>292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6"/>
      <c r="U8" s="63" t="s">
        <v>10</v>
      </c>
      <c r="V8" s="63"/>
      <c r="W8" s="63"/>
      <c r="X8" s="63"/>
      <c r="Y8" s="63"/>
      <c r="Z8" s="63"/>
      <c r="AA8" s="63"/>
      <c r="AB8" s="63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5"/>
      <c r="AN8" s="4"/>
    </row>
    <row r="9" spans="1:40" ht="17.350000000000001" customHeight="1">
      <c r="A9" s="79" t="s">
        <v>11</v>
      </c>
      <c r="B9" s="63"/>
      <c r="C9" s="63"/>
      <c r="D9" s="63"/>
      <c r="E9" s="63"/>
      <c r="F9" s="63"/>
      <c r="G9" s="80" t="str">
        <f ca="1">MONTH(TODAY())&amp;"월 1일"</f>
        <v>8월 1일</v>
      </c>
      <c r="H9" s="81"/>
      <c r="I9" s="81"/>
      <c r="J9" s="81"/>
      <c r="K9" s="81"/>
      <c r="L9" s="81"/>
      <c r="M9" s="81"/>
      <c r="N9" s="81"/>
      <c r="O9" s="8" t="s">
        <v>12</v>
      </c>
      <c r="P9" s="81" t="str">
        <f ca="1">MONTH(TODAY())&amp;"월 "&amp;DAY(DATE(YEAR(TODAY()),MONTH(TODAY())+1,0))&amp;"일"</f>
        <v>8월 31일</v>
      </c>
      <c r="Q9" s="81"/>
      <c r="R9" s="81"/>
      <c r="S9" s="81"/>
      <c r="T9" s="81"/>
      <c r="U9" s="81"/>
      <c r="V9" s="81"/>
      <c r="W9" s="82"/>
      <c r="X9" s="72" t="s">
        <v>13</v>
      </c>
      <c r="Y9" s="72"/>
      <c r="Z9" s="72"/>
      <c r="AA9" s="72"/>
      <c r="AB9" s="72"/>
      <c r="AC9" s="72"/>
      <c r="AD9" s="72"/>
      <c r="AE9" s="72"/>
      <c r="AF9" s="83">
        <f ca="1">TODAY()</f>
        <v>44429</v>
      </c>
      <c r="AG9" s="83"/>
      <c r="AH9" s="83"/>
      <c r="AI9" s="83"/>
      <c r="AJ9" s="83"/>
      <c r="AK9" s="83"/>
      <c r="AL9" s="83"/>
      <c r="AM9" s="84"/>
      <c r="AN9" s="4"/>
    </row>
    <row r="10" spans="1:40" ht="17.350000000000001" customHeight="1">
      <c r="A10" s="25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6"/>
      <c r="AN10" s="4"/>
    </row>
    <row r="11" spans="1:40" ht="17.350000000000001" customHeight="1">
      <c r="A11" s="71" t="s">
        <v>14</v>
      </c>
      <c r="B11" s="64"/>
      <c r="C11" s="64"/>
      <c r="D11" s="64"/>
      <c r="E11" s="98" t="s">
        <v>15</v>
      </c>
      <c r="F11" s="72"/>
      <c r="G11" s="72"/>
      <c r="H11" s="72" t="s">
        <v>16</v>
      </c>
      <c r="I11" s="72"/>
      <c r="J11" s="72"/>
      <c r="K11" s="73" t="s">
        <v>17</v>
      </c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 t="s">
        <v>18</v>
      </c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64" t="s">
        <v>30</v>
      </c>
      <c r="AM11" s="65"/>
      <c r="AN11" s="4"/>
    </row>
    <row r="12" spans="1:40" ht="17.350000000000001" customHeight="1">
      <c r="A12" s="71"/>
      <c r="B12" s="64"/>
      <c r="C12" s="64"/>
      <c r="D12" s="64"/>
      <c r="E12" s="72"/>
      <c r="F12" s="72"/>
      <c r="G12" s="72"/>
      <c r="H12" s="72"/>
      <c r="I12" s="72"/>
      <c r="J12" s="72"/>
      <c r="K12" s="9"/>
      <c r="L12" s="9" t="s">
        <v>19</v>
      </c>
      <c r="M12" s="9"/>
      <c r="N12" s="9"/>
      <c r="O12" s="10" t="s">
        <v>20</v>
      </c>
      <c r="P12" s="9"/>
      <c r="Q12" s="9"/>
      <c r="R12" s="10" t="s">
        <v>21</v>
      </c>
      <c r="S12" s="9"/>
      <c r="T12" s="9"/>
      <c r="U12" s="9" t="s">
        <v>22</v>
      </c>
      <c r="V12" s="9"/>
      <c r="W12" s="9"/>
      <c r="X12" s="11" t="s">
        <v>23</v>
      </c>
      <c r="Y12" s="9" t="s">
        <v>19</v>
      </c>
      <c r="Z12" s="9"/>
      <c r="AA12" s="9"/>
      <c r="AB12" s="10" t="s">
        <v>20</v>
      </c>
      <c r="AC12" s="9"/>
      <c r="AD12" s="9"/>
      <c r="AE12" s="10" t="s">
        <v>21</v>
      </c>
      <c r="AF12" s="9"/>
      <c r="AG12" s="9"/>
      <c r="AH12" s="9" t="s">
        <v>22</v>
      </c>
      <c r="AI12" s="9"/>
      <c r="AJ12" s="9"/>
      <c r="AK12" s="11" t="s">
        <v>23</v>
      </c>
      <c r="AL12" s="64"/>
      <c r="AM12" s="65"/>
      <c r="AN12" s="4"/>
    </row>
    <row r="13" spans="1:40" ht="17.350000000000001" customHeight="1">
      <c r="A13" s="71" t="s">
        <v>24</v>
      </c>
      <c r="B13" s="64"/>
      <c r="C13" s="64"/>
      <c r="D13" s="64"/>
      <c r="E13" s="64"/>
      <c r="F13" s="64"/>
      <c r="G13" s="64"/>
      <c r="H13" s="64"/>
      <c r="I13" s="64"/>
      <c r="J13" s="64"/>
      <c r="K13" s="2"/>
      <c r="L13" s="2"/>
      <c r="M13" s="12"/>
      <c r="N13" s="2"/>
      <c r="O13" s="2"/>
      <c r="P13" s="12"/>
      <c r="Q13" s="2"/>
      <c r="R13" s="2"/>
      <c r="S13" s="12"/>
      <c r="T13" s="2"/>
      <c r="U13" s="2"/>
      <c r="V13" s="12"/>
      <c r="W13" s="2"/>
      <c r="X13" s="3"/>
      <c r="Y13" s="13"/>
      <c r="Z13" s="14"/>
      <c r="AA13" s="13"/>
      <c r="AB13" s="13"/>
      <c r="AC13" s="14"/>
      <c r="AD13" s="13"/>
      <c r="AE13" s="13"/>
      <c r="AF13" s="14"/>
      <c r="AG13" s="13"/>
      <c r="AH13" s="13"/>
      <c r="AI13" s="14"/>
      <c r="AJ13" s="13"/>
      <c r="AK13" s="15"/>
      <c r="AL13" s="64"/>
      <c r="AM13" s="65"/>
      <c r="AN13" s="4"/>
    </row>
    <row r="14" spans="1:40" ht="17.350000000000001" customHeight="1">
      <c r="A14" s="71"/>
      <c r="B14" s="64"/>
      <c r="C14" s="64"/>
      <c r="D14" s="64"/>
      <c r="E14" s="64"/>
      <c r="F14" s="64"/>
      <c r="G14" s="64"/>
      <c r="H14" s="64"/>
      <c r="I14" s="64"/>
      <c r="J14" s="64"/>
      <c r="K14" s="7"/>
      <c r="L14" s="16"/>
      <c r="M14" s="7"/>
      <c r="N14" s="16"/>
      <c r="O14" s="16"/>
      <c r="P14" s="7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64"/>
      <c r="AM14" s="65"/>
      <c r="AN14" s="4"/>
    </row>
    <row r="15" spans="1:40" ht="17.350000000000001" customHeight="1">
      <c r="A15" s="25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6"/>
      <c r="AN15" s="4"/>
    </row>
    <row r="16" spans="1:40" ht="17.350000000000001" customHeight="1">
      <c r="A16" s="71" t="s">
        <v>25</v>
      </c>
      <c r="B16" s="64"/>
      <c r="C16" s="64" t="s">
        <v>26</v>
      </c>
      <c r="D16" s="64"/>
      <c r="E16" s="64"/>
      <c r="F16" s="64"/>
      <c r="G16" s="64" t="s">
        <v>27</v>
      </c>
      <c r="H16" s="64"/>
      <c r="I16" s="64"/>
      <c r="J16" s="64"/>
      <c r="K16" s="97" t="s">
        <v>28</v>
      </c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 t="s">
        <v>29</v>
      </c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64"/>
      <c r="AM16" s="65"/>
      <c r="AN16" s="4"/>
    </row>
    <row r="17" spans="1:40" ht="17.350000000000001" customHeight="1">
      <c r="A17" s="71"/>
      <c r="B17" s="64"/>
      <c r="C17" s="64"/>
      <c r="D17" s="64"/>
      <c r="E17" s="64"/>
      <c r="F17" s="64"/>
      <c r="G17" s="64"/>
      <c r="H17" s="64"/>
      <c r="I17" s="64"/>
      <c r="J17" s="64"/>
      <c r="K17" s="5"/>
      <c r="L17" s="6" t="s">
        <v>19</v>
      </c>
      <c r="M17" s="6"/>
      <c r="N17" s="6"/>
      <c r="O17" s="17" t="s">
        <v>20</v>
      </c>
      <c r="P17" s="6"/>
      <c r="Q17" s="6"/>
      <c r="R17" s="17" t="s">
        <v>21</v>
      </c>
      <c r="S17" s="6"/>
      <c r="T17" s="6"/>
      <c r="U17" s="6" t="s">
        <v>22</v>
      </c>
      <c r="V17" s="6"/>
      <c r="W17" s="6"/>
      <c r="X17" s="7" t="s">
        <v>23</v>
      </c>
      <c r="Y17" s="6" t="s">
        <v>19</v>
      </c>
      <c r="Z17" s="6"/>
      <c r="AA17" s="6"/>
      <c r="AB17" s="17" t="s">
        <v>20</v>
      </c>
      <c r="AC17" s="6"/>
      <c r="AD17" s="6"/>
      <c r="AE17" s="17" t="s">
        <v>21</v>
      </c>
      <c r="AF17" s="6"/>
      <c r="AG17" s="6"/>
      <c r="AH17" s="6" t="s">
        <v>22</v>
      </c>
      <c r="AI17" s="6"/>
      <c r="AJ17" s="6"/>
      <c r="AK17" s="7" t="s">
        <v>23</v>
      </c>
      <c r="AL17" s="64"/>
      <c r="AM17" s="65"/>
      <c r="AN17" s="4"/>
    </row>
    <row r="18" spans="1:40" ht="17.350000000000001" customHeight="1">
      <c r="A18" s="85">
        <v>1</v>
      </c>
      <c r="B18" s="86"/>
      <c r="C18" s="89"/>
      <c r="D18" s="90"/>
      <c r="E18" s="90"/>
      <c r="F18" s="91"/>
      <c r="G18" s="89"/>
      <c r="H18" s="90"/>
      <c r="I18" s="90"/>
      <c r="J18" s="91"/>
      <c r="K18" s="18"/>
      <c r="L18" s="19"/>
      <c r="M18" s="18"/>
      <c r="N18" s="19"/>
      <c r="O18" s="19"/>
      <c r="P18" s="18"/>
      <c r="Q18" s="19"/>
      <c r="R18" s="19"/>
      <c r="S18" s="18"/>
      <c r="T18" s="19"/>
      <c r="U18" s="19"/>
      <c r="V18" s="18"/>
      <c r="W18" s="19"/>
      <c r="X18" s="19"/>
      <c r="Y18" s="18"/>
      <c r="Z18" s="18"/>
      <c r="AA18" s="19"/>
      <c r="AB18" s="19"/>
      <c r="AC18" s="18"/>
      <c r="AD18" s="19"/>
      <c r="AE18" s="19"/>
      <c r="AF18" s="18"/>
      <c r="AG18" s="19"/>
      <c r="AH18" s="19"/>
      <c r="AI18" s="18"/>
      <c r="AJ18" s="19"/>
      <c r="AK18" s="19"/>
      <c r="AL18" s="94"/>
      <c r="AM18" s="95"/>
      <c r="AN18" s="4"/>
    </row>
    <row r="19" spans="1:40" ht="17.350000000000001" customHeight="1">
      <c r="A19" s="87"/>
      <c r="B19" s="88"/>
      <c r="C19" s="92"/>
      <c r="D19" s="93"/>
      <c r="E19" s="93"/>
      <c r="F19" s="88"/>
      <c r="G19" s="92"/>
      <c r="H19" s="93"/>
      <c r="I19" s="93"/>
      <c r="J19" s="88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92"/>
      <c r="AM19" s="96"/>
      <c r="AN19" s="4"/>
    </row>
    <row r="20" spans="1:40" ht="17.350000000000001" customHeight="1">
      <c r="A20" s="85">
        <v>2</v>
      </c>
      <c r="B20" s="86"/>
      <c r="C20" s="89"/>
      <c r="D20" s="90"/>
      <c r="E20" s="90"/>
      <c r="F20" s="91"/>
      <c r="G20" s="89"/>
      <c r="H20" s="90"/>
      <c r="I20" s="90"/>
      <c r="J20" s="91"/>
      <c r="K20" s="18"/>
      <c r="L20" s="19"/>
      <c r="M20" s="18"/>
      <c r="N20" s="19"/>
      <c r="O20" s="19"/>
      <c r="P20" s="18"/>
      <c r="Q20" s="19"/>
      <c r="R20" s="19"/>
      <c r="S20" s="18"/>
      <c r="T20" s="19"/>
      <c r="U20" s="19"/>
      <c r="V20" s="18"/>
      <c r="W20" s="19"/>
      <c r="X20" s="19"/>
      <c r="Y20" s="18"/>
      <c r="Z20" s="18"/>
      <c r="AA20" s="19"/>
      <c r="AB20" s="19"/>
      <c r="AC20" s="18"/>
      <c r="AD20" s="19"/>
      <c r="AE20" s="19"/>
      <c r="AF20" s="18"/>
      <c r="AG20" s="19"/>
      <c r="AH20" s="19"/>
      <c r="AI20" s="18"/>
      <c r="AJ20" s="19"/>
      <c r="AK20" s="19"/>
      <c r="AL20" s="94"/>
      <c r="AM20" s="95"/>
      <c r="AN20" s="4"/>
    </row>
    <row r="21" spans="1:40" ht="17.350000000000001" customHeight="1">
      <c r="A21" s="87"/>
      <c r="B21" s="88"/>
      <c r="C21" s="92"/>
      <c r="D21" s="93"/>
      <c r="E21" s="93"/>
      <c r="F21" s="88"/>
      <c r="G21" s="92"/>
      <c r="H21" s="93"/>
      <c r="I21" s="93"/>
      <c r="J21" s="88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92"/>
      <c r="AM21" s="96"/>
      <c r="AN21" s="4"/>
    </row>
    <row r="22" spans="1:40" ht="17.350000000000001" customHeight="1">
      <c r="A22" s="85">
        <v>3</v>
      </c>
      <c r="B22" s="86"/>
      <c r="C22" s="89"/>
      <c r="D22" s="90"/>
      <c r="E22" s="90"/>
      <c r="F22" s="91"/>
      <c r="G22" s="89"/>
      <c r="H22" s="90"/>
      <c r="I22" s="90"/>
      <c r="J22" s="91"/>
      <c r="K22" s="18"/>
      <c r="L22" s="19"/>
      <c r="M22" s="18"/>
      <c r="N22" s="19"/>
      <c r="O22" s="19"/>
      <c r="P22" s="18"/>
      <c r="Q22" s="19"/>
      <c r="R22" s="19"/>
      <c r="S22" s="18"/>
      <c r="T22" s="19"/>
      <c r="U22" s="19"/>
      <c r="V22" s="18"/>
      <c r="W22" s="19"/>
      <c r="X22" s="19"/>
      <c r="Y22" s="18"/>
      <c r="Z22" s="18"/>
      <c r="AA22" s="19"/>
      <c r="AB22" s="19"/>
      <c r="AC22" s="18"/>
      <c r="AD22" s="19"/>
      <c r="AE22" s="19"/>
      <c r="AF22" s="18"/>
      <c r="AG22" s="19"/>
      <c r="AH22" s="19"/>
      <c r="AI22" s="18"/>
      <c r="AJ22" s="19"/>
      <c r="AK22" s="19"/>
      <c r="AL22" s="94"/>
      <c r="AM22" s="95"/>
      <c r="AN22" s="4"/>
    </row>
    <row r="23" spans="1:40" ht="17.350000000000001" customHeight="1">
      <c r="A23" s="87"/>
      <c r="B23" s="88"/>
      <c r="C23" s="92"/>
      <c r="D23" s="93"/>
      <c r="E23" s="93"/>
      <c r="F23" s="88"/>
      <c r="G23" s="92"/>
      <c r="H23" s="93"/>
      <c r="I23" s="93"/>
      <c r="J23" s="88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92"/>
      <c r="AM23" s="96"/>
      <c r="AN23" s="4"/>
    </row>
    <row r="24" spans="1:40" ht="17.350000000000001" customHeight="1">
      <c r="A24" s="85">
        <v>4</v>
      </c>
      <c r="B24" s="86"/>
      <c r="C24" s="89"/>
      <c r="D24" s="90"/>
      <c r="E24" s="90"/>
      <c r="F24" s="91"/>
      <c r="G24" s="89"/>
      <c r="H24" s="90"/>
      <c r="I24" s="90"/>
      <c r="J24" s="91"/>
      <c r="K24" s="18"/>
      <c r="L24" s="19"/>
      <c r="M24" s="18"/>
      <c r="N24" s="19"/>
      <c r="O24" s="19"/>
      <c r="P24" s="18"/>
      <c r="Q24" s="19"/>
      <c r="R24" s="19"/>
      <c r="S24" s="18"/>
      <c r="T24" s="19"/>
      <c r="U24" s="19"/>
      <c r="V24" s="18"/>
      <c r="W24" s="19"/>
      <c r="X24" s="19"/>
      <c r="Y24" s="18"/>
      <c r="Z24" s="18"/>
      <c r="AA24" s="19"/>
      <c r="AB24" s="19"/>
      <c r="AC24" s="18"/>
      <c r="AD24" s="19"/>
      <c r="AE24" s="19"/>
      <c r="AF24" s="18"/>
      <c r="AG24" s="19"/>
      <c r="AH24" s="19"/>
      <c r="AI24" s="18"/>
      <c r="AJ24" s="19"/>
      <c r="AK24" s="19"/>
      <c r="AL24" s="94"/>
      <c r="AM24" s="95"/>
      <c r="AN24" s="4"/>
    </row>
    <row r="25" spans="1:40" ht="17.350000000000001" customHeight="1">
      <c r="A25" s="87"/>
      <c r="B25" s="88"/>
      <c r="C25" s="92"/>
      <c r="D25" s="93"/>
      <c r="E25" s="93"/>
      <c r="F25" s="88"/>
      <c r="G25" s="92"/>
      <c r="H25" s="93"/>
      <c r="I25" s="93"/>
      <c r="J25" s="88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92"/>
      <c r="AM25" s="96"/>
      <c r="AN25" s="4"/>
    </row>
    <row r="26" spans="1:40" ht="17.350000000000001" customHeight="1">
      <c r="A26" s="85">
        <v>5</v>
      </c>
      <c r="B26" s="86"/>
      <c r="C26" s="89"/>
      <c r="D26" s="90"/>
      <c r="E26" s="90"/>
      <c r="F26" s="91"/>
      <c r="G26" s="89"/>
      <c r="H26" s="90"/>
      <c r="I26" s="90"/>
      <c r="J26" s="91"/>
      <c r="K26" s="18"/>
      <c r="L26" s="19"/>
      <c r="M26" s="18"/>
      <c r="N26" s="19"/>
      <c r="O26" s="19"/>
      <c r="P26" s="18"/>
      <c r="Q26" s="19"/>
      <c r="R26" s="19"/>
      <c r="S26" s="18"/>
      <c r="T26" s="19"/>
      <c r="U26" s="19"/>
      <c r="V26" s="18"/>
      <c r="W26" s="19"/>
      <c r="X26" s="19"/>
      <c r="Y26" s="18"/>
      <c r="Z26" s="18"/>
      <c r="AA26" s="19"/>
      <c r="AB26" s="19"/>
      <c r="AC26" s="18"/>
      <c r="AD26" s="19"/>
      <c r="AE26" s="19"/>
      <c r="AF26" s="18"/>
      <c r="AG26" s="19"/>
      <c r="AH26" s="19"/>
      <c r="AI26" s="18"/>
      <c r="AJ26" s="19"/>
      <c r="AK26" s="19"/>
      <c r="AL26" s="94"/>
      <c r="AM26" s="95"/>
      <c r="AN26" s="4"/>
    </row>
    <row r="27" spans="1:40" ht="17.350000000000001" customHeight="1">
      <c r="A27" s="87"/>
      <c r="B27" s="88"/>
      <c r="C27" s="92"/>
      <c r="D27" s="93"/>
      <c r="E27" s="93"/>
      <c r="F27" s="88"/>
      <c r="G27" s="92"/>
      <c r="H27" s="93"/>
      <c r="I27" s="93"/>
      <c r="J27" s="88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92"/>
      <c r="AM27" s="96"/>
      <c r="AN27" s="4"/>
    </row>
    <row r="28" spans="1:40" ht="17.350000000000001" customHeight="1">
      <c r="A28" s="85">
        <v>6</v>
      </c>
      <c r="B28" s="86"/>
      <c r="C28" s="89"/>
      <c r="D28" s="90"/>
      <c r="E28" s="90"/>
      <c r="F28" s="91"/>
      <c r="G28" s="89"/>
      <c r="H28" s="90"/>
      <c r="I28" s="90"/>
      <c r="J28" s="91"/>
      <c r="K28" s="18"/>
      <c r="L28" s="19"/>
      <c r="M28" s="18"/>
      <c r="N28" s="19"/>
      <c r="O28" s="19"/>
      <c r="P28" s="18"/>
      <c r="Q28" s="19"/>
      <c r="R28" s="19"/>
      <c r="S28" s="18"/>
      <c r="T28" s="19"/>
      <c r="U28" s="19"/>
      <c r="V28" s="18"/>
      <c r="W28" s="19"/>
      <c r="X28" s="19"/>
      <c r="Y28" s="18"/>
      <c r="Z28" s="18"/>
      <c r="AA28" s="19"/>
      <c r="AB28" s="19"/>
      <c r="AC28" s="18"/>
      <c r="AD28" s="19"/>
      <c r="AE28" s="19"/>
      <c r="AF28" s="18"/>
      <c r="AG28" s="19"/>
      <c r="AH28" s="19"/>
      <c r="AI28" s="18"/>
      <c r="AJ28" s="19"/>
      <c r="AK28" s="19"/>
      <c r="AL28" s="94"/>
      <c r="AM28" s="95"/>
      <c r="AN28" s="4"/>
    </row>
    <row r="29" spans="1:40" ht="17.350000000000001" customHeight="1">
      <c r="A29" s="87"/>
      <c r="B29" s="88"/>
      <c r="C29" s="92"/>
      <c r="D29" s="93"/>
      <c r="E29" s="93"/>
      <c r="F29" s="88"/>
      <c r="G29" s="92"/>
      <c r="H29" s="93"/>
      <c r="I29" s="93"/>
      <c r="J29" s="88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92"/>
      <c r="AM29" s="96"/>
      <c r="AN29" s="4"/>
    </row>
    <row r="30" spans="1:40" ht="17.350000000000001" customHeight="1">
      <c r="A30" s="85">
        <v>7</v>
      </c>
      <c r="B30" s="86"/>
      <c r="C30" s="89"/>
      <c r="D30" s="90"/>
      <c r="E30" s="90"/>
      <c r="F30" s="91"/>
      <c r="G30" s="89"/>
      <c r="H30" s="90"/>
      <c r="I30" s="90"/>
      <c r="J30" s="91"/>
      <c r="K30" s="18"/>
      <c r="L30" s="19"/>
      <c r="M30" s="18"/>
      <c r="N30" s="19"/>
      <c r="O30" s="19"/>
      <c r="P30" s="18"/>
      <c r="Q30" s="19"/>
      <c r="R30" s="19"/>
      <c r="S30" s="18"/>
      <c r="T30" s="19"/>
      <c r="U30" s="19"/>
      <c r="V30" s="18"/>
      <c r="W30" s="19"/>
      <c r="X30" s="19"/>
      <c r="Y30" s="18"/>
      <c r="Z30" s="18"/>
      <c r="AA30" s="19"/>
      <c r="AB30" s="19"/>
      <c r="AC30" s="18"/>
      <c r="AD30" s="19"/>
      <c r="AE30" s="19"/>
      <c r="AF30" s="18"/>
      <c r="AG30" s="19"/>
      <c r="AH30" s="19"/>
      <c r="AI30" s="18"/>
      <c r="AJ30" s="19"/>
      <c r="AK30" s="19"/>
      <c r="AL30" s="94"/>
      <c r="AM30" s="95"/>
      <c r="AN30" s="4"/>
    </row>
    <row r="31" spans="1:40" ht="17.350000000000001" customHeight="1">
      <c r="A31" s="87"/>
      <c r="B31" s="88"/>
      <c r="C31" s="92"/>
      <c r="D31" s="93"/>
      <c r="E31" s="93"/>
      <c r="F31" s="88"/>
      <c r="G31" s="92"/>
      <c r="H31" s="93"/>
      <c r="I31" s="93"/>
      <c r="J31" s="88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92"/>
      <c r="AM31" s="96"/>
      <c r="AN31" s="4"/>
    </row>
    <row r="32" spans="1:40" ht="17.350000000000001" customHeight="1">
      <c r="A32" s="85">
        <v>8</v>
      </c>
      <c r="B32" s="86"/>
      <c r="C32" s="89"/>
      <c r="D32" s="90"/>
      <c r="E32" s="90"/>
      <c r="F32" s="91"/>
      <c r="G32" s="89"/>
      <c r="H32" s="90"/>
      <c r="I32" s="90"/>
      <c r="J32" s="91"/>
      <c r="K32" s="18"/>
      <c r="L32" s="19"/>
      <c r="M32" s="18"/>
      <c r="N32" s="19"/>
      <c r="O32" s="19"/>
      <c r="P32" s="18"/>
      <c r="Q32" s="19"/>
      <c r="R32" s="19"/>
      <c r="S32" s="18"/>
      <c r="T32" s="19"/>
      <c r="U32" s="19"/>
      <c r="V32" s="18"/>
      <c r="W32" s="19"/>
      <c r="X32" s="19"/>
      <c r="Y32" s="18"/>
      <c r="Z32" s="18"/>
      <c r="AA32" s="19"/>
      <c r="AB32" s="19"/>
      <c r="AC32" s="18"/>
      <c r="AD32" s="19"/>
      <c r="AE32" s="19"/>
      <c r="AF32" s="18"/>
      <c r="AG32" s="19"/>
      <c r="AH32" s="19"/>
      <c r="AI32" s="18"/>
      <c r="AJ32" s="19"/>
      <c r="AK32" s="19"/>
      <c r="AL32" s="94"/>
      <c r="AM32" s="95"/>
      <c r="AN32" s="4"/>
    </row>
    <row r="33" spans="1:40" ht="17.350000000000001" customHeight="1">
      <c r="A33" s="87"/>
      <c r="B33" s="88"/>
      <c r="C33" s="92"/>
      <c r="D33" s="93"/>
      <c r="E33" s="93"/>
      <c r="F33" s="88"/>
      <c r="G33" s="92"/>
      <c r="H33" s="93"/>
      <c r="I33" s="93"/>
      <c r="J33" s="88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92"/>
      <c r="AM33" s="96"/>
      <c r="AN33" s="4"/>
    </row>
    <row r="34" spans="1:40" ht="17.350000000000001" customHeight="1">
      <c r="A34" s="85">
        <v>9</v>
      </c>
      <c r="B34" s="86"/>
      <c r="C34" s="89"/>
      <c r="D34" s="90"/>
      <c r="E34" s="90"/>
      <c r="F34" s="91"/>
      <c r="G34" s="89"/>
      <c r="H34" s="90"/>
      <c r="I34" s="90"/>
      <c r="J34" s="91"/>
      <c r="K34" s="18"/>
      <c r="L34" s="19"/>
      <c r="M34" s="18"/>
      <c r="N34" s="19"/>
      <c r="O34" s="19"/>
      <c r="P34" s="18"/>
      <c r="Q34" s="19"/>
      <c r="R34" s="19"/>
      <c r="S34" s="18"/>
      <c r="T34" s="19"/>
      <c r="U34" s="19"/>
      <c r="V34" s="18"/>
      <c r="W34" s="19"/>
      <c r="X34" s="19"/>
      <c r="Y34" s="18"/>
      <c r="Z34" s="18"/>
      <c r="AA34" s="19"/>
      <c r="AB34" s="19"/>
      <c r="AC34" s="18"/>
      <c r="AD34" s="19"/>
      <c r="AE34" s="19"/>
      <c r="AF34" s="18"/>
      <c r="AG34" s="19"/>
      <c r="AH34" s="19"/>
      <c r="AI34" s="18"/>
      <c r="AJ34" s="19"/>
      <c r="AK34" s="19"/>
      <c r="AL34" s="94"/>
      <c r="AM34" s="95"/>
      <c r="AN34" s="4"/>
    </row>
    <row r="35" spans="1:40" ht="17.350000000000001" customHeight="1">
      <c r="A35" s="87"/>
      <c r="B35" s="88"/>
      <c r="C35" s="92"/>
      <c r="D35" s="93"/>
      <c r="E35" s="93"/>
      <c r="F35" s="88"/>
      <c r="G35" s="92"/>
      <c r="H35" s="93"/>
      <c r="I35" s="93"/>
      <c r="J35" s="88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92"/>
      <c r="AM35" s="96"/>
      <c r="AN35" s="4"/>
    </row>
    <row r="36" spans="1:40" ht="17.350000000000001" customHeight="1">
      <c r="A36" s="85">
        <v>10</v>
      </c>
      <c r="B36" s="86"/>
      <c r="C36" s="89"/>
      <c r="D36" s="90"/>
      <c r="E36" s="90"/>
      <c r="F36" s="91"/>
      <c r="G36" s="89"/>
      <c r="H36" s="90"/>
      <c r="I36" s="90"/>
      <c r="J36" s="91"/>
      <c r="K36" s="18"/>
      <c r="L36" s="19"/>
      <c r="M36" s="18"/>
      <c r="N36" s="19"/>
      <c r="O36" s="19"/>
      <c r="P36" s="18"/>
      <c r="Q36" s="19"/>
      <c r="R36" s="19"/>
      <c r="S36" s="18"/>
      <c r="T36" s="19"/>
      <c r="U36" s="19"/>
      <c r="V36" s="18"/>
      <c r="W36" s="19"/>
      <c r="X36" s="19"/>
      <c r="Y36" s="18"/>
      <c r="Z36" s="18"/>
      <c r="AA36" s="19"/>
      <c r="AB36" s="19"/>
      <c r="AC36" s="18"/>
      <c r="AD36" s="19"/>
      <c r="AE36" s="19"/>
      <c r="AF36" s="18"/>
      <c r="AG36" s="19"/>
      <c r="AH36" s="19"/>
      <c r="AI36" s="18"/>
      <c r="AJ36" s="19"/>
      <c r="AK36" s="19"/>
      <c r="AL36" s="94"/>
      <c r="AM36" s="95"/>
      <c r="AN36" s="4"/>
    </row>
    <row r="37" spans="1:40" ht="17.350000000000001" customHeight="1" thickBot="1">
      <c r="A37" s="99"/>
      <c r="B37" s="100"/>
      <c r="C37" s="101"/>
      <c r="D37" s="102"/>
      <c r="E37" s="102"/>
      <c r="F37" s="100"/>
      <c r="G37" s="101"/>
      <c r="H37" s="102"/>
      <c r="I37" s="102"/>
      <c r="J37" s="100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101"/>
      <c r="AM37" s="103"/>
      <c r="AN37" s="4"/>
    </row>
  </sheetData>
  <mergeCells count="78">
    <mergeCell ref="A34:B35"/>
    <mergeCell ref="C34:F35"/>
    <mergeCell ref="G34:J35"/>
    <mergeCell ref="AL34:AM35"/>
    <mergeCell ref="A36:B37"/>
    <mergeCell ref="C36:F37"/>
    <mergeCell ref="G36:J37"/>
    <mergeCell ref="AL36:AM37"/>
    <mergeCell ref="A30:B31"/>
    <mergeCell ref="C30:F31"/>
    <mergeCell ref="G30:J31"/>
    <mergeCell ref="AL30:AM31"/>
    <mergeCell ref="A32:B33"/>
    <mergeCell ref="C32:F33"/>
    <mergeCell ref="G32:J33"/>
    <mergeCell ref="AL32:AM33"/>
    <mergeCell ref="A26:B27"/>
    <mergeCell ref="C26:F27"/>
    <mergeCell ref="G26:J27"/>
    <mergeCell ref="AL26:AM27"/>
    <mergeCell ref="A28:B29"/>
    <mergeCell ref="C28:F29"/>
    <mergeCell ref="G28:J29"/>
    <mergeCell ref="AL28:AM29"/>
    <mergeCell ref="A22:B23"/>
    <mergeCell ref="C22:F23"/>
    <mergeCell ref="G22:J23"/>
    <mergeCell ref="AL22:AM23"/>
    <mergeCell ref="A24:B25"/>
    <mergeCell ref="C24:F25"/>
    <mergeCell ref="G24:J25"/>
    <mergeCell ref="AL24:AM25"/>
    <mergeCell ref="AL16:AM17"/>
    <mergeCell ref="A18:B19"/>
    <mergeCell ref="C18:F19"/>
    <mergeCell ref="G18:J19"/>
    <mergeCell ref="AL18:AM19"/>
    <mergeCell ref="A20:B21"/>
    <mergeCell ref="C20:F21"/>
    <mergeCell ref="G20:J21"/>
    <mergeCell ref="AL20:AM21"/>
    <mergeCell ref="AL11:AM12"/>
    <mergeCell ref="A13:D14"/>
    <mergeCell ref="E13:G14"/>
    <mergeCell ref="H13:J14"/>
    <mergeCell ref="AL13:AM14"/>
    <mergeCell ref="A16:B17"/>
    <mergeCell ref="C16:F17"/>
    <mergeCell ref="G16:J17"/>
    <mergeCell ref="K16:X16"/>
    <mergeCell ref="Y16:AK16"/>
    <mergeCell ref="A11:D12"/>
    <mergeCell ref="E11:G12"/>
    <mergeCell ref="H11:J12"/>
    <mergeCell ref="K11:X11"/>
    <mergeCell ref="Y11:AK11"/>
    <mergeCell ref="A7:H7"/>
    <mergeCell ref="I7:T7"/>
    <mergeCell ref="U7:AB7"/>
    <mergeCell ref="AC7:AM7"/>
    <mergeCell ref="A8:H8"/>
    <mergeCell ref="I8:T8"/>
    <mergeCell ref="U8:AB8"/>
    <mergeCell ref="AC8:AM8"/>
    <mergeCell ref="A9:F9"/>
    <mergeCell ref="G9:N9"/>
    <mergeCell ref="P9:W9"/>
    <mergeCell ref="X9:AE9"/>
    <mergeCell ref="AF9:AM9"/>
    <mergeCell ref="A6:H6"/>
    <mergeCell ref="I6:T6"/>
    <mergeCell ref="U6:AB6"/>
    <mergeCell ref="AC6:AM6"/>
    <mergeCell ref="A2:AM2"/>
    <mergeCell ref="Q3:T3"/>
    <mergeCell ref="V3:W3"/>
    <mergeCell ref="A5:F5"/>
    <mergeCell ref="G5:N5"/>
  </mergeCells>
  <phoneticPr fontId="8" type="noConversion"/>
  <pageMargins left="0.13541666666666666" right="1.0416666666666666E-2" top="0.75" bottom="0.75" header="0.3" footer="0.3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Form">
                <anchor moveWithCells="1" sizeWithCells="1">
                  <from>
                    <xdr:col>28</xdr:col>
                    <xdr:colOff>133643</xdr:colOff>
                    <xdr:row>1</xdr:row>
                    <xdr:rowOff>196948</xdr:rowOff>
                  </from>
                  <to>
                    <xdr:col>37</xdr:col>
                    <xdr:colOff>182880</xdr:colOff>
                    <xdr:row>3</xdr:row>
                    <xdr:rowOff>98474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showGridLines="0" workbookViewId="0">
      <selection activeCell="B8" sqref="B8"/>
    </sheetView>
  </sheetViews>
  <sheetFormatPr defaultRowHeight="14.4"/>
  <cols>
    <col min="1" max="1" width="16" style="29" customWidth="1"/>
    <col min="2" max="2" width="19.5" style="30" customWidth="1"/>
    <col min="3" max="3" width="11.8984375" style="35" customWidth="1"/>
    <col min="4" max="4" width="26" bestFit="1" customWidth="1"/>
    <col min="5" max="5" width="10.69921875" style="31" customWidth="1"/>
    <col min="6" max="6" width="15.09765625" style="34" customWidth="1"/>
    <col min="7" max="7" width="16.8984375" style="32" customWidth="1"/>
    <col min="8" max="8" width="14.69921875" style="33" bestFit="1" customWidth="1"/>
  </cols>
  <sheetData>
    <row r="1" spans="1:8">
      <c r="A1" s="52" t="s">
        <v>298</v>
      </c>
      <c r="B1" s="53" t="s">
        <v>300</v>
      </c>
      <c r="C1" s="53" t="s">
        <v>304</v>
      </c>
      <c r="D1" s="56" t="s">
        <v>301</v>
      </c>
      <c r="E1" s="53" t="s">
        <v>302</v>
      </c>
      <c r="F1" s="53" t="s">
        <v>303</v>
      </c>
      <c r="G1" s="54" t="s">
        <v>31</v>
      </c>
      <c r="H1" s="55" t="s">
        <v>32</v>
      </c>
    </row>
    <row r="2" spans="1:8">
      <c r="A2" s="36">
        <v>6108157680</v>
      </c>
      <c r="B2" s="37" t="s">
        <v>232</v>
      </c>
      <c r="C2" s="38" t="s">
        <v>157</v>
      </c>
      <c r="D2" s="43" t="s">
        <v>233</v>
      </c>
      <c r="E2" s="41" t="s">
        <v>34</v>
      </c>
      <c r="F2" s="42" t="s">
        <v>35</v>
      </c>
      <c r="G2" s="39">
        <v>40985</v>
      </c>
      <c r="H2" s="40">
        <v>100000000</v>
      </c>
    </row>
    <row r="3" spans="1:8">
      <c r="A3" s="36">
        <v>6068173538</v>
      </c>
      <c r="B3" s="37" t="s">
        <v>127</v>
      </c>
      <c r="C3" s="38" t="s">
        <v>158</v>
      </c>
      <c r="D3" s="43" t="s">
        <v>234</v>
      </c>
      <c r="E3" s="41" t="s">
        <v>37</v>
      </c>
      <c r="F3" s="42" t="s">
        <v>38</v>
      </c>
      <c r="G3" s="39">
        <v>42061</v>
      </c>
      <c r="H3" s="40">
        <v>50000000</v>
      </c>
    </row>
    <row r="4" spans="1:8">
      <c r="A4" s="36">
        <v>6218147868</v>
      </c>
      <c r="B4" s="37" t="s">
        <v>93</v>
      </c>
      <c r="C4" s="38" t="s">
        <v>159</v>
      </c>
      <c r="D4" s="43" t="s">
        <v>235</v>
      </c>
      <c r="E4" s="41" t="s">
        <v>37</v>
      </c>
      <c r="F4" s="42" t="s">
        <v>38</v>
      </c>
      <c r="G4" s="39">
        <v>40939</v>
      </c>
      <c r="H4" s="40">
        <v>50000000</v>
      </c>
    </row>
    <row r="5" spans="1:8">
      <c r="A5" s="36">
        <v>6038149594</v>
      </c>
      <c r="B5" s="37" t="s">
        <v>47</v>
      </c>
      <c r="C5" s="38" t="s">
        <v>160</v>
      </c>
      <c r="D5" s="43" t="s">
        <v>236</v>
      </c>
      <c r="E5" s="41" t="s">
        <v>37</v>
      </c>
      <c r="F5" s="42" t="s">
        <v>291</v>
      </c>
      <c r="G5" s="39">
        <v>42474</v>
      </c>
      <c r="H5" s="40">
        <v>100000000</v>
      </c>
    </row>
    <row r="6" spans="1:8">
      <c r="A6" s="36">
        <v>6058151285</v>
      </c>
      <c r="B6" s="37" t="s">
        <v>115</v>
      </c>
      <c r="C6" s="38" t="s">
        <v>161</v>
      </c>
      <c r="D6" s="43" t="s">
        <v>237</v>
      </c>
      <c r="E6" s="41" t="s">
        <v>37</v>
      </c>
      <c r="F6" s="42" t="s">
        <v>292</v>
      </c>
      <c r="G6" s="39">
        <v>40943</v>
      </c>
      <c r="H6" s="40">
        <v>100000000</v>
      </c>
    </row>
    <row r="7" spans="1:8">
      <c r="A7" s="36">
        <v>6038148691</v>
      </c>
      <c r="B7" s="37" t="s">
        <v>135</v>
      </c>
      <c r="C7" s="38" t="s">
        <v>162</v>
      </c>
      <c r="D7" s="43" t="s">
        <v>238</v>
      </c>
      <c r="E7" s="41" t="s">
        <v>37</v>
      </c>
      <c r="F7" s="42" t="s">
        <v>43</v>
      </c>
      <c r="G7" s="39">
        <v>40924</v>
      </c>
      <c r="H7" s="40">
        <v>50000000</v>
      </c>
    </row>
    <row r="8" spans="1:8">
      <c r="A8" s="36">
        <v>6028124780</v>
      </c>
      <c r="B8" s="37" t="s">
        <v>85</v>
      </c>
      <c r="C8" s="38" t="s">
        <v>163</v>
      </c>
      <c r="D8" s="43" t="s">
        <v>239</v>
      </c>
      <c r="E8" s="41" t="s">
        <v>37</v>
      </c>
      <c r="F8" s="42" t="s">
        <v>38</v>
      </c>
      <c r="G8" s="39">
        <v>41369</v>
      </c>
      <c r="H8" s="40">
        <v>50000000</v>
      </c>
    </row>
    <row r="9" spans="1:8">
      <c r="A9" s="36">
        <v>6138127356</v>
      </c>
      <c r="B9" s="37" t="s">
        <v>112</v>
      </c>
      <c r="C9" s="38" t="s">
        <v>164</v>
      </c>
      <c r="D9" s="43" t="s">
        <v>240</v>
      </c>
      <c r="E9" s="41" t="s">
        <v>37</v>
      </c>
      <c r="F9" s="42" t="s">
        <v>38</v>
      </c>
      <c r="G9" s="39">
        <v>42018</v>
      </c>
      <c r="H9" s="40">
        <v>50000000</v>
      </c>
    </row>
    <row r="10" spans="1:8">
      <c r="A10" s="36">
        <v>6038148623</v>
      </c>
      <c r="B10" s="37" t="s">
        <v>88</v>
      </c>
      <c r="C10" s="38" t="s">
        <v>165</v>
      </c>
      <c r="D10" s="43" t="s">
        <v>240</v>
      </c>
      <c r="E10" s="41" t="s">
        <v>37</v>
      </c>
      <c r="F10" s="42" t="s">
        <v>43</v>
      </c>
      <c r="G10" s="39">
        <v>40911</v>
      </c>
      <c r="H10" s="40">
        <v>50000000</v>
      </c>
    </row>
    <row r="11" spans="1:8">
      <c r="A11" s="36">
        <v>6058152426</v>
      </c>
      <c r="B11" s="37" t="s">
        <v>44</v>
      </c>
      <c r="C11" s="38" t="s">
        <v>166</v>
      </c>
      <c r="D11" s="43" t="s">
        <v>240</v>
      </c>
      <c r="E11" s="41" t="s">
        <v>37</v>
      </c>
      <c r="F11" s="42" t="s">
        <v>38</v>
      </c>
      <c r="G11" s="39">
        <v>41000</v>
      </c>
      <c r="H11" s="40">
        <v>50000000</v>
      </c>
    </row>
    <row r="12" spans="1:8">
      <c r="A12" s="36">
        <v>6038148714</v>
      </c>
      <c r="B12" s="37" t="s">
        <v>100</v>
      </c>
      <c r="C12" s="38" t="s">
        <v>167</v>
      </c>
      <c r="D12" s="43" t="s">
        <v>240</v>
      </c>
      <c r="E12" s="41" t="s">
        <v>37</v>
      </c>
      <c r="F12" s="42" t="s">
        <v>49</v>
      </c>
      <c r="G12" s="39">
        <v>41292</v>
      </c>
      <c r="H12" s="40">
        <v>50000000</v>
      </c>
    </row>
    <row r="13" spans="1:8">
      <c r="A13" s="36">
        <v>6038149008</v>
      </c>
      <c r="B13" s="37" t="s">
        <v>142</v>
      </c>
      <c r="C13" s="38" t="s">
        <v>168</v>
      </c>
      <c r="D13" s="43" t="s">
        <v>240</v>
      </c>
      <c r="E13" s="41" t="s">
        <v>37</v>
      </c>
      <c r="F13" s="42" t="s">
        <v>51</v>
      </c>
      <c r="G13" s="39">
        <v>42053</v>
      </c>
      <c r="H13" s="40">
        <v>100000000</v>
      </c>
    </row>
    <row r="14" spans="1:8">
      <c r="A14" s="36">
        <v>6218148534</v>
      </c>
      <c r="B14" s="37" t="s">
        <v>52</v>
      </c>
      <c r="C14" s="38" t="s">
        <v>169</v>
      </c>
      <c r="D14" s="43" t="s">
        <v>241</v>
      </c>
      <c r="E14" s="41" t="s">
        <v>37</v>
      </c>
      <c r="F14" s="42" t="s">
        <v>53</v>
      </c>
      <c r="G14" s="39">
        <v>40977</v>
      </c>
      <c r="H14" s="40">
        <v>50000000</v>
      </c>
    </row>
    <row r="15" spans="1:8">
      <c r="A15" s="36">
        <v>6178137775</v>
      </c>
      <c r="B15" s="37" t="s">
        <v>96</v>
      </c>
      <c r="C15" s="38" t="s">
        <v>170</v>
      </c>
      <c r="D15" s="43" t="s">
        <v>242</v>
      </c>
      <c r="E15" s="41" t="s">
        <v>37</v>
      </c>
      <c r="F15" s="42" t="s">
        <v>55</v>
      </c>
      <c r="G15" s="39">
        <v>40929</v>
      </c>
      <c r="H15" s="40">
        <v>100000000</v>
      </c>
    </row>
    <row r="16" spans="1:8">
      <c r="A16" s="36">
        <v>6068173788</v>
      </c>
      <c r="B16" s="37" t="s">
        <v>140</v>
      </c>
      <c r="C16" s="38" t="s">
        <v>171</v>
      </c>
      <c r="D16" s="43" t="s">
        <v>243</v>
      </c>
      <c r="E16" s="41" t="s">
        <v>37</v>
      </c>
      <c r="F16" s="42" t="s">
        <v>57</v>
      </c>
      <c r="G16" s="39">
        <v>42082</v>
      </c>
      <c r="H16" s="40">
        <v>50000000</v>
      </c>
    </row>
    <row r="17" spans="1:8">
      <c r="A17" s="36">
        <v>6068173697</v>
      </c>
      <c r="B17" s="37" t="s">
        <v>60</v>
      </c>
      <c r="C17" s="38" t="s">
        <v>172</v>
      </c>
      <c r="D17" s="43" t="s">
        <v>244</v>
      </c>
      <c r="E17" s="41" t="s">
        <v>37</v>
      </c>
      <c r="F17" s="42" t="s">
        <v>59</v>
      </c>
      <c r="G17" s="39">
        <v>40977</v>
      </c>
      <c r="H17" s="40">
        <v>50000000</v>
      </c>
    </row>
    <row r="18" spans="1:8">
      <c r="A18" s="36">
        <v>6038149760</v>
      </c>
      <c r="B18" s="37" t="s">
        <v>50</v>
      </c>
      <c r="C18" s="38" t="s">
        <v>173</v>
      </c>
      <c r="D18" s="43" t="s">
        <v>245</v>
      </c>
      <c r="E18" s="41" t="s">
        <v>37</v>
      </c>
      <c r="F18" s="42" t="s">
        <v>61</v>
      </c>
      <c r="G18" s="39">
        <v>41025</v>
      </c>
      <c r="H18" s="40">
        <v>100000000</v>
      </c>
    </row>
    <row r="19" spans="1:8">
      <c r="A19" s="36">
        <v>6138127474</v>
      </c>
      <c r="B19" s="37" t="s">
        <v>54</v>
      </c>
      <c r="C19" s="38" t="s">
        <v>174</v>
      </c>
      <c r="D19" s="43" t="s">
        <v>241</v>
      </c>
      <c r="E19" s="41" t="s">
        <v>37</v>
      </c>
      <c r="F19" s="42" t="s">
        <v>63</v>
      </c>
      <c r="G19" s="39">
        <v>41297</v>
      </c>
      <c r="H19" s="40">
        <v>50000000</v>
      </c>
    </row>
    <row r="20" spans="1:8">
      <c r="A20" s="36">
        <v>6038148517</v>
      </c>
      <c r="B20" s="37" t="s">
        <v>73</v>
      </c>
      <c r="C20" s="38" t="s">
        <v>175</v>
      </c>
      <c r="D20" s="43" t="s">
        <v>246</v>
      </c>
      <c r="E20" s="41" t="s">
        <v>37</v>
      </c>
      <c r="F20" s="42" t="s">
        <v>65</v>
      </c>
      <c r="G20" s="39">
        <v>42005</v>
      </c>
      <c r="H20" s="40">
        <v>20000000</v>
      </c>
    </row>
    <row r="21" spans="1:8">
      <c r="A21" s="36">
        <v>6038149446</v>
      </c>
      <c r="B21" s="37" t="s">
        <v>86</v>
      </c>
      <c r="C21" s="38" t="s">
        <v>176</v>
      </c>
      <c r="D21" s="43" t="s">
        <v>247</v>
      </c>
      <c r="E21" s="41" t="s">
        <v>37</v>
      </c>
      <c r="F21" s="42" t="s">
        <v>43</v>
      </c>
      <c r="G21" s="39">
        <v>42465</v>
      </c>
      <c r="H21" s="40">
        <v>100000000</v>
      </c>
    </row>
    <row r="22" spans="1:8">
      <c r="A22" s="36">
        <v>6058151200</v>
      </c>
      <c r="B22" s="37" t="s">
        <v>103</v>
      </c>
      <c r="C22" s="38" t="s">
        <v>177</v>
      </c>
      <c r="D22" s="43" t="s">
        <v>245</v>
      </c>
      <c r="E22" s="41" t="s">
        <v>37</v>
      </c>
      <c r="F22" s="42" t="s">
        <v>68</v>
      </c>
      <c r="G22" s="39">
        <v>40945</v>
      </c>
      <c r="H22" s="40">
        <v>50000000</v>
      </c>
    </row>
    <row r="23" spans="1:8">
      <c r="A23" s="36">
        <v>6068173873</v>
      </c>
      <c r="B23" s="37" t="s">
        <v>109</v>
      </c>
      <c r="C23" s="38" t="s">
        <v>178</v>
      </c>
      <c r="D23" s="43" t="s">
        <v>248</v>
      </c>
      <c r="E23" s="41" t="s">
        <v>37</v>
      </c>
      <c r="F23" s="42" t="s">
        <v>70</v>
      </c>
      <c r="G23" s="39">
        <v>41357</v>
      </c>
      <c r="H23" s="40">
        <v>50000000</v>
      </c>
    </row>
    <row r="24" spans="1:8">
      <c r="A24" s="36">
        <v>6178138378</v>
      </c>
      <c r="B24" s="37" t="s">
        <v>148</v>
      </c>
      <c r="C24" s="38" t="s">
        <v>179</v>
      </c>
      <c r="D24" s="43" t="s">
        <v>249</v>
      </c>
      <c r="E24" s="41" t="s">
        <v>72</v>
      </c>
      <c r="F24" s="42" t="s">
        <v>38</v>
      </c>
      <c r="G24" s="39">
        <v>42423</v>
      </c>
      <c r="H24" s="40">
        <v>50000000</v>
      </c>
    </row>
    <row r="25" spans="1:8">
      <c r="A25" s="36">
        <v>6038149701</v>
      </c>
      <c r="B25" s="37" t="s">
        <v>123</v>
      </c>
      <c r="C25" s="38" t="s">
        <v>180</v>
      </c>
      <c r="D25" s="43" t="s">
        <v>247</v>
      </c>
      <c r="E25" s="41" t="s">
        <v>72</v>
      </c>
      <c r="F25" s="42" t="s">
        <v>43</v>
      </c>
      <c r="G25" s="39">
        <v>41021</v>
      </c>
      <c r="H25" s="40">
        <v>50000000</v>
      </c>
    </row>
    <row r="26" spans="1:8">
      <c r="A26" s="36">
        <v>6218149413</v>
      </c>
      <c r="B26" s="37" t="s">
        <v>40</v>
      </c>
      <c r="C26" s="38" t="s">
        <v>181</v>
      </c>
      <c r="D26" s="43" t="s">
        <v>250</v>
      </c>
      <c r="E26" s="41" t="s">
        <v>72</v>
      </c>
      <c r="F26" s="42" t="s">
        <v>75</v>
      </c>
      <c r="G26" s="39">
        <v>42121</v>
      </c>
      <c r="H26" s="40">
        <v>50000000</v>
      </c>
    </row>
    <row r="27" spans="1:8">
      <c r="A27" s="36">
        <v>6088145924</v>
      </c>
      <c r="B27" s="37" t="s">
        <v>87</v>
      </c>
      <c r="C27" s="38" t="s">
        <v>182</v>
      </c>
      <c r="D27" s="43" t="s">
        <v>239</v>
      </c>
      <c r="E27" s="41" t="s">
        <v>72</v>
      </c>
      <c r="F27" s="42" t="s">
        <v>293</v>
      </c>
      <c r="G27" s="39">
        <v>40930</v>
      </c>
      <c r="H27" s="40">
        <v>50000000</v>
      </c>
    </row>
    <row r="28" spans="1:8">
      <c r="A28" s="36">
        <v>6038149137</v>
      </c>
      <c r="B28" s="37" t="s">
        <v>108</v>
      </c>
      <c r="C28" s="38" t="s">
        <v>183</v>
      </c>
      <c r="D28" s="43" t="s">
        <v>251</v>
      </c>
      <c r="E28" s="41" t="s">
        <v>72</v>
      </c>
      <c r="F28" s="42" t="s">
        <v>61</v>
      </c>
      <c r="G28" s="39">
        <v>40976</v>
      </c>
      <c r="H28" s="40">
        <v>50000000</v>
      </c>
    </row>
    <row r="29" spans="1:8">
      <c r="A29" s="36">
        <v>6068173150</v>
      </c>
      <c r="B29" s="37" t="s">
        <v>58</v>
      </c>
      <c r="C29" s="38" t="s">
        <v>184</v>
      </c>
      <c r="D29" s="43" t="s">
        <v>252</v>
      </c>
      <c r="E29" s="41" t="s">
        <v>72</v>
      </c>
      <c r="F29" s="42" t="s">
        <v>38</v>
      </c>
      <c r="G29" s="39">
        <v>40944</v>
      </c>
      <c r="H29" s="40">
        <v>50000000</v>
      </c>
    </row>
    <row r="30" spans="1:8">
      <c r="A30" s="36">
        <v>6068174278</v>
      </c>
      <c r="B30" s="37" t="s">
        <v>83</v>
      </c>
      <c r="C30" s="38" t="s">
        <v>185</v>
      </c>
      <c r="D30" s="43" t="s">
        <v>253</v>
      </c>
      <c r="E30" s="41" t="s">
        <v>72</v>
      </c>
      <c r="F30" s="42" t="s">
        <v>80</v>
      </c>
      <c r="G30" s="39">
        <v>42100</v>
      </c>
      <c r="H30" s="40">
        <v>50000000</v>
      </c>
    </row>
    <row r="31" spans="1:8">
      <c r="A31" s="36">
        <v>6158125267</v>
      </c>
      <c r="B31" s="37" t="s">
        <v>81</v>
      </c>
      <c r="C31" s="38" t="s">
        <v>186</v>
      </c>
      <c r="D31" s="43" t="s">
        <v>254</v>
      </c>
      <c r="E31" s="41" t="s">
        <v>72</v>
      </c>
      <c r="F31" s="42" t="s">
        <v>38</v>
      </c>
      <c r="G31" s="39">
        <v>41356</v>
      </c>
      <c r="H31" s="40">
        <v>50000000</v>
      </c>
    </row>
    <row r="32" spans="1:8">
      <c r="A32" s="36">
        <v>6058150437</v>
      </c>
      <c r="B32" s="37" t="s">
        <v>78</v>
      </c>
      <c r="C32" s="38" t="s">
        <v>187</v>
      </c>
      <c r="D32" s="43" t="s">
        <v>255</v>
      </c>
      <c r="E32" s="41" t="s">
        <v>72</v>
      </c>
      <c r="F32" s="42" t="s">
        <v>38</v>
      </c>
      <c r="G32" s="39">
        <v>40913</v>
      </c>
      <c r="H32" s="40">
        <v>50000000</v>
      </c>
    </row>
    <row r="33" spans="1:8">
      <c r="A33" s="36">
        <v>6178137881</v>
      </c>
      <c r="B33" s="37" t="s">
        <v>150</v>
      </c>
      <c r="C33" s="38" t="s">
        <v>188</v>
      </c>
      <c r="D33" s="43" t="s">
        <v>256</v>
      </c>
      <c r="E33" s="41" t="s">
        <v>72</v>
      </c>
      <c r="F33" s="42" t="s">
        <v>38</v>
      </c>
      <c r="G33" s="39">
        <v>40935</v>
      </c>
      <c r="H33" s="40">
        <v>50000000</v>
      </c>
    </row>
    <row r="34" spans="1:8">
      <c r="A34" s="36">
        <v>6038149481</v>
      </c>
      <c r="B34" s="37" t="s">
        <v>82</v>
      </c>
      <c r="C34" s="38" t="s">
        <v>189</v>
      </c>
      <c r="D34" s="43" t="s">
        <v>257</v>
      </c>
      <c r="E34" s="41" t="s">
        <v>72</v>
      </c>
      <c r="F34" s="42" t="s">
        <v>38</v>
      </c>
      <c r="G34" s="39">
        <v>42467</v>
      </c>
      <c r="H34" s="40">
        <v>100000000</v>
      </c>
    </row>
    <row r="35" spans="1:8">
      <c r="A35" s="36">
        <v>6058152321</v>
      </c>
      <c r="B35" s="37" t="s">
        <v>105</v>
      </c>
      <c r="C35" s="38" t="s">
        <v>190</v>
      </c>
      <c r="D35" s="43" t="s">
        <v>258</v>
      </c>
      <c r="E35" s="41" t="s">
        <v>72</v>
      </c>
      <c r="F35" s="42" t="s">
        <v>38</v>
      </c>
      <c r="G35" s="39">
        <v>40984</v>
      </c>
      <c r="H35" s="40">
        <v>50000000</v>
      </c>
    </row>
    <row r="36" spans="1:8">
      <c r="A36" s="36">
        <v>6068174598</v>
      </c>
      <c r="B36" s="37" t="s">
        <v>131</v>
      </c>
      <c r="C36" s="38" t="s">
        <v>191</v>
      </c>
      <c r="D36" s="43" t="s">
        <v>259</v>
      </c>
      <c r="E36" s="41" t="s">
        <v>72</v>
      </c>
      <c r="F36" s="42" t="s">
        <v>38</v>
      </c>
      <c r="G36" s="39">
        <v>42483</v>
      </c>
      <c r="H36" s="40">
        <v>50000000</v>
      </c>
    </row>
    <row r="37" spans="1:8">
      <c r="A37" s="36">
        <v>6058152872</v>
      </c>
      <c r="B37" s="37" t="s">
        <v>145</v>
      </c>
      <c r="C37" s="38" t="s">
        <v>192</v>
      </c>
      <c r="D37" s="43" t="s">
        <v>260</v>
      </c>
      <c r="E37" s="41" t="s">
        <v>72</v>
      </c>
      <c r="F37" s="42" t="s">
        <v>38</v>
      </c>
      <c r="G37" s="39">
        <v>42110</v>
      </c>
      <c r="H37" s="40">
        <v>50000000</v>
      </c>
    </row>
    <row r="38" spans="1:8">
      <c r="A38" s="36">
        <v>6068173079</v>
      </c>
      <c r="B38" s="37" t="s">
        <v>99</v>
      </c>
      <c r="C38" s="38" t="s">
        <v>174</v>
      </c>
      <c r="D38" s="43" t="s">
        <v>261</v>
      </c>
      <c r="E38" s="41" t="s">
        <v>72</v>
      </c>
      <c r="F38" s="42" t="s">
        <v>89</v>
      </c>
      <c r="G38" s="39">
        <v>40935</v>
      </c>
      <c r="H38" s="40">
        <v>50000000</v>
      </c>
    </row>
    <row r="39" spans="1:8">
      <c r="A39" s="36">
        <v>6038148479</v>
      </c>
      <c r="B39" s="37" t="s">
        <v>66</v>
      </c>
      <c r="C39" s="38" t="s">
        <v>193</v>
      </c>
      <c r="D39" s="43" t="s">
        <v>262</v>
      </c>
      <c r="E39" s="41" t="s">
        <v>72</v>
      </c>
      <c r="F39" s="42" t="s">
        <v>91</v>
      </c>
      <c r="G39" s="39">
        <v>40910</v>
      </c>
      <c r="H39" s="40">
        <v>100000000</v>
      </c>
    </row>
    <row r="40" spans="1:8">
      <c r="A40" s="36">
        <v>6068174150</v>
      </c>
      <c r="B40" s="37" t="s">
        <v>84</v>
      </c>
      <c r="C40" s="38" t="s">
        <v>194</v>
      </c>
      <c r="D40" s="43" t="s">
        <v>263</v>
      </c>
      <c r="E40" s="41" t="s">
        <v>72</v>
      </c>
      <c r="F40" s="42" t="s">
        <v>294</v>
      </c>
      <c r="G40" s="39">
        <v>42103</v>
      </c>
      <c r="H40" s="40">
        <v>50000000</v>
      </c>
    </row>
    <row r="41" spans="1:8">
      <c r="A41" s="36">
        <v>6028124184</v>
      </c>
      <c r="B41" s="37" t="s">
        <v>36</v>
      </c>
      <c r="C41" s="38" t="s">
        <v>195</v>
      </c>
      <c r="D41" s="43" t="s">
        <v>264</v>
      </c>
      <c r="E41" s="41" t="s">
        <v>72</v>
      </c>
      <c r="F41" s="42" t="s">
        <v>94</v>
      </c>
      <c r="G41" s="39">
        <v>40965</v>
      </c>
      <c r="H41" s="40">
        <v>10000000</v>
      </c>
    </row>
    <row r="42" spans="1:8">
      <c r="A42" s="36">
        <v>6038149159</v>
      </c>
      <c r="B42" s="37" t="s">
        <v>102</v>
      </c>
      <c r="C42" s="38" t="s">
        <v>196</v>
      </c>
      <c r="D42" s="43" t="s">
        <v>265</v>
      </c>
      <c r="E42" s="41" t="s">
        <v>72</v>
      </c>
      <c r="F42" s="42" t="s">
        <v>61</v>
      </c>
      <c r="G42" s="39">
        <v>41337</v>
      </c>
      <c r="H42" s="40">
        <v>100000000</v>
      </c>
    </row>
    <row r="43" spans="1:8">
      <c r="A43" s="36">
        <v>6038149017</v>
      </c>
      <c r="B43" s="37" t="s">
        <v>125</v>
      </c>
      <c r="C43" s="38" t="s">
        <v>197</v>
      </c>
      <c r="D43" s="43" t="s">
        <v>266</v>
      </c>
      <c r="E43" s="41" t="s">
        <v>72</v>
      </c>
      <c r="F43" s="42" t="s">
        <v>97</v>
      </c>
      <c r="G43" s="39">
        <v>40964</v>
      </c>
      <c r="H43" s="40">
        <v>50000000</v>
      </c>
    </row>
    <row r="44" spans="1:8">
      <c r="A44" s="36">
        <v>6218148082</v>
      </c>
      <c r="B44" s="37" t="s">
        <v>79</v>
      </c>
      <c r="C44" s="38" t="s">
        <v>198</v>
      </c>
      <c r="D44" s="43" t="s">
        <v>252</v>
      </c>
      <c r="E44" s="41" t="s">
        <v>72</v>
      </c>
      <c r="F44" s="42" t="s">
        <v>38</v>
      </c>
      <c r="G44" s="39">
        <v>40936</v>
      </c>
      <c r="H44" s="40">
        <v>50000000</v>
      </c>
    </row>
    <row r="45" spans="1:8">
      <c r="A45" s="36">
        <v>6028123875</v>
      </c>
      <c r="B45" s="37" t="s">
        <v>67</v>
      </c>
      <c r="C45" s="38" t="s">
        <v>199</v>
      </c>
      <c r="D45" s="43" t="s">
        <v>267</v>
      </c>
      <c r="E45" s="41" t="s">
        <v>72</v>
      </c>
      <c r="F45" s="42" t="s">
        <v>38</v>
      </c>
      <c r="G45" s="39">
        <v>41303</v>
      </c>
      <c r="H45" s="40">
        <v>100000000</v>
      </c>
    </row>
    <row r="46" spans="1:8">
      <c r="A46" s="36">
        <v>6058152897</v>
      </c>
      <c r="B46" s="37" t="s">
        <v>76</v>
      </c>
      <c r="C46" s="38" t="s">
        <v>200</v>
      </c>
      <c r="D46" s="43" t="s">
        <v>262</v>
      </c>
      <c r="E46" s="41" t="s">
        <v>72</v>
      </c>
      <c r="F46" s="42" t="s">
        <v>38</v>
      </c>
      <c r="G46" s="39">
        <v>41023</v>
      </c>
      <c r="H46" s="40">
        <v>50000000</v>
      </c>
    </row>
    <row r="47" spans="1:8">
      <c r="A47" s="36">
        <v>6078158526</v>
      </c>
      <c r="B47" s="37" t="s">
        <v>133</v>
      </c>
      <c r="C47" s="38" t="s">
        <v>201</v>
      </c>
      <c r="D47" s="43" t="s">
        <v>240</v>
      </c>
      <c r="E47" s="41" t="s">
        <v>72</v>
      </c>
      <c r="F47" s="42" t="s">
        <v>38</v>
      </c>
      <c r="G47" s="39">
        <v>41714</v>
      </c>
      <c r="H47" s="40">
        <v>100000000</v>
      </c>
    </row>
    <row r="48" spans="1:8">
      <c r="A48" s="36">
        <v>6038149252</v>
      </c>
      <c r="B48" s="37" t="s">
        <v>111</v>
      </c>
      <c r="C48" s="38" t="s">
        <v>202</v>
      </c>
      <c r="D48" s="43" t="s">
        <v>268</v>
      </c>
      <c r="E48" s="41" t="s">
        <v>72</v>
      </c>
      <c r="F48" s="42" t="s">
        <v>38</v>
      </c>
      <c r="G48" s="39">
        <v>41716</v>
      </c>
      <c r="H48" s="40">
        <v>50000000</v>
      </c>
    </row>
    <row r="49" spans="1:8">
      <c r="A49" s="36">
        <v>6068174681</v>
      </c>
      <c r="B49" s="37" t="s">
        <v>121</v>
      </c>
      <c r="C49" s="38" t="s">
        <v>187</v>
      </c>
      <c r="D49" s="43" t="s">
        <v>240</v>
      </c>
      <c r="E49" s="41" t="s">
        <v>72</v>
      </c>
      <c r="F49" s="42" t="s">
        <v>104</v>
      </c>
      <c r="G49" s="39">
        <v>41028</v>
      </c>
      <c r="H49" s="40">
        <v>50000000</v>
      </c>
    </row>
    <row r="50" spans="1:8">
      <c r="A50" s="36">
        <v>6038148989</v>
      </c>
      <c r="B50" s="37" t="s">
        <v>45</v>
      </c>
      <c r="C50" s="38" t="s">
        <v>170</v>
      </c>
      <c r="D50" s="43" t="s">
        <v>269</v>
      </c>
      <c r="E50" s="41" t="s">
        <v>72</v>
      </c>
      <c r="F50" s="42" t="s">
        <v>61</v>
      </c>
      <c r="G50" s="39">
        <v>40938</v>
      </c>
      <c r="H50" s="40">
        <v>100000000</v>
      </c>
    </row>
    <row r="51" spans="1:8">
      <c r="A51" s="36">
        <v>6028123729</v>
      </c>
      <c r="B51" s="37" t="s">
        <v>95</v>
      </c>
      <c r="C51" s="38" t="s">
        <v>203</v>
      </c>
      <c r="D51" s="43" t="s">
        <v>240</v>
      </c>
      <c r="E51" s="41" t="s">
        <v>72</v>
      </c>
      <c r="F51" s="42" t="s">
        <v>107</v>
      </c>
      <c r="G51" s="39">
        <v>40931</v>
      </c>
      <c r="H51" s="40">
        <v>90000000</v>
      </c>
    </row>
    <row r="52" spans="1:8">
      <c r="A52" s="36">
        <v>6028124954</v>
      </c>
      <c r="B52" s="37" t="s">
        <v>154</v>
      </c>
      <c r="C52" s="38" t="s">
        <v>204</v>
      </c>
      <c r="D52" s="43" t="s">
        <v>270</v>
      </c>
      <c r="E52" s="41" t="s">
        <v>72</v>
      </c>
      <c r="F52" s="42" t="s">
        <v>38</v>
      </c>
      <c r="G52" s="39">
        <v>41379</v>
      </c>
      <c r="H52" s="40">
        <v>100000000</v>
      </c>
    </row>
    <row r="53" spans="1:8">
      <c r="A53" s="36">
        <v>6038148510</v>
      </c>
      <c r="B53" s="37" t="s">
        <v>41</v>
      </c>
      <c r="C53" s="38" t="s">
        <v>205</v>
      </c>
      <c r="D53" s="43" t="s">
        <v>271</v>
      </c>
      <c r="E53" s="41" t="s">
        <v>72</v>
      </c>
      <c r="F53" s="42" t="s">
        <v>65</v>
      </c>
      <c r="G53" s="39">
        <v>41644</v>
      </c>
      <c r="H53" s="40">
        <v>50000000</v>
      </c>
    </row>
    <row r="54" spans="1:8">
      <c r="A54" s="36">
        <v>6158124355</v>
      </c>
      <c r="B54" s="37" t="s">
        <v>41</v>
      </c>
      <c r="C54" s="38" t="s">
        <v>206</v>
      </c>
      <c r="D54" s="43" t="s">
        <v>272</v>
      </c>
      <c r="E54" s="41" t="s">
        <v>72</v>
      </c>
      <c r="F54" s="42" t="s">
        <v>65</v>
      </c>
      <c r="G54" s="39">
        <v>40941</v>
      </c>
      <c r="H54" s="40">
        <v>50000000</v>
      </c>
    </row>
    <row r="55" spans="1:8">
      <c r="A55" s="36">
        <v>6078157441</v>
      </c>
      <c r="B55" s="37" t="s">
        <v>101</v>
      </c>
      <c r="C55" s="38" t="s">
        <v>207</v>
      </c>
      <c r="D55" s="43" t="s">
        <v>246</v>
      </c>
      <c r="E55" s="41" t="s">
        <v>72</v>
      </c>
      <c r="F55" s="42" t="s">
        <v>38</v>
      </c>
      <c r="G55" s="39">
        <v>42377</v>
      </c>
      <c r="H55" s="40">
        <v>50000000</v>
      </c>
    </row>
    <row r="56" spans="1:8">
      <c r="A56" s="36">
        <v>6058150023</v>
      </c>
      <c r="B56" s="37" t="s">
        <v>114</v>
      </c>
      <c r="C56" s="38" t="s">
        <v>208</v>
      </c>
      <c r="D56" s="43" t="s">
        <v>273</v>
      </c>
      <c r="E56" s="41" t="s">
        <v>72</v>
      </c>
      <c r="F56" s="42" t="s">
        <v>113</v>
      </c>
      <c r="G56" s="39">
        <v>40908</v>
      </c>
      <c r="H56" s="40">
        <v>100000000</v>
      </c>
    </row>
    <row r="57" spans="1:8">
      <c r="A57" s="36">
        <v>6058151825</v>
      </c>
      <c r="B57" s="37" t="s">
        <v>110</v>
      </c>
      <c r="C57" s="38" t="s">
        <v>209</v>
      </c>
      <c r="D57" s="43" t="s">
        <v>259</v>
      </c>
      <c r="E57" s="41" t="s">
        <v>72</v>
      </c>
      <c r="F57" s="42" t="s">
        <v>38</v>
      </c>
      <c r="G57" s="39">
        <v>40984</v>
      </c>
      <c r="H57" s="40">
        <v>50000000</v>
      </c>
    </row>
    <row r="58" spans="1:8">
      <c r="A58" s="36">
        <v>6058151126</v>
      </c>
      <c r="B58" s="37" t="s">
        <v>46</v>
      </c>
      <c r="C58" s="38" t="s">
        <v>210</v>
      </c>
      <c r="D58" s="43" t="s">
        <v>259</v>
      </c>
      <c r="E58" s="41" t="s">
        <v>72</v>
      </c>
      <c r="F58" s="42" t="s">
        <v>89</v>
      </c>
      <c r="G58" s="39">
        <v>41324</v>
      </c>
      <c r="H58" s="40">
        <v>100000000</v>
      </c>
    </row>
    <row r="59" spans="1:8">
      <c r="A59" s="36">
        <v>6028124185</v>
      </c>
      <c r="B59" s="37" t="s">
        <v>90</v>
      </c>
      <c r="C59" s="38" t="s">
        <v>211</v>
      </c>
      <c r="D59" s="43" t="s">
        <v>274</v>
      </c>
      <c r="E59" s="41" t="s">
        <v>72</v>
      </c>
      <c r="F59" s="42" t="s">
        <v>117</v>
      </c>
      <c r="G59" s="39">
        <v>41695</v>
      </c>
      <c r="H59" s="40">
        <v>50000000</v>
      </c>
    </row>
    <row r="60" spans="1:8">
      <c r="A60" s="36">
        <v>6178139310</v>
      </c>
      <c r="B60" s="37" t="s">
        <v>137</v>
      </c>
      <c r="C60" s="38" t="s">
        <v>212</v>
      </c>
      <c r="D60" s="43" t="s">
        <v>259</v>
      </c>
      <c r="E60" s="41" t="s">
        <v>72</v>
      </c>
      <c r="F60" s="42" t="s">
        <v>38</v>
      </c>
      <c r="G60" s="39">
        <v>41005</v>
      </c>
      <c r="H60" s="40">
        <v>50000000</v>
      </c>
    </row>
    <row r="61" spans="1:8">
      <c r="A61" s="36">
        <v>6068172340</v>
      </c>
      <c r="B61" s="37" t="s">
        <v>71</v>
      </c>
      <c r="C61" s="38" t="s">
        <v>213</v>
      </c>
      <c r="D61" s="43" t="s">
        <v>259</v>
      </c>
      <c r="E61" s="41" t="s">
        <v>72</v>
      </c>
      <c r="F61" s="42" t="s">
        <v>120</v>
      </c>
      <c r="G61" s="39">
        <v>40914</v>
      </c>
      <c r="H61" s="40">
        <v>100000000</v>
      </c>
    </row>
    <row r="62" spans="1:8">
      <c r="A62" s="36">
        <v>6038149006</v>
      </c>
      <c r="B62" s="37" t="s">
        <v>134</v>
      </c>
      <c r="C62" s="38" t="s">
        <v>214</v>
      </c>
      <c r="D62" s="43" t="s">
        <v>259</v>
      </c>
      <c r="E62" s="41" t="s">
        <v>72</v>
      </c>
      <c r="F62" s="42" t="s">
        <v>122</v>
      </c>
      <c r="G62" s="39">
        <v>42420</v>
      </c>
      <c r="H62" s="40">
        <v>50000000</v>
      </c>
    </row>
    <row r="63" spans="1:8">
      <c r="A63" s="36">
        <v>6068172999</v>
      </c>
      <c r="B63" s="37" t="s">
        <v>138</v>
      </c>
      <c r="C63" s="38" t="s">
        <v>215</v>
      </c>
      <c r="D63" s="43" t="s">
        <v>251</v>
      </c>
      <c r="E63" s="41" t="s">
        <v>72</v>
      </c>
      <c r="F63" s="42" t="s">
        <v>124</v>
      </c>
      <c r="G63" s="39">
        <v>41301</v>
      </c>
      <c r="H63" s="40">
        <v>80000000</v>
      </c>
    </row>
    <row r="64" spans="1:8">
      <c r="A64" s="36">
        <v>6158124665</v>
      </c>
      <c r="B64" s="37" t="s">
        <v>118</v>
      </c>
      <c r="C64" s="38" t="s">
        <v>216</v>
      </c>
      <c r="D64" s="43" t="s">
        <v>275</v>
      </c>
      <c r="E64" s="41" t="s">
        <v>72</v>
      </c>
      <c r="F64" s="42" t="s">
        <v>126</v>
      </c>
      <c r="G64" s="39">
        <v>41690</v>
      </c>
      <c r="H64" s="40">
        <v>50000000</v>
      </c>
    </row>
    <row r="65" spans="1:8">
      <c r="A65" s="36">
        <v>6028123786</v>
      </c>
      <c r="B65" s="37" t="s">
        <v>64</v>
      </c>
      <c r="C65" s="38" t="s">
        <v>163</v>
      </c>
      <c r="D65" s="43" t="s">
        <v>245</v>
      </c>
      <c r="E65" s="41" t="s">
        <v>72</v>
      </c>
      <c r="F65" s="42" t="s">
        <v>295</v>
      </c>
      <c r="G65" s="39">
        <v>40928</v>
      </c>
      <c r="H65" s="40">
        <v>50000000</v>
      </c>
    </row>
    <row r="66" spans="1:8">
      <c r="A66" s="36">
        <v>6038148533</v>
      </c>
      <c r="B66" s="37" t="s">
        <v>74</v>
      </c>
      <c r="C66" s="38" t="s">
        <v>217</v>
      </c>
      <c r="D66" s="43" t="s">
        <v>259</v>
      </c>
      <c r="E66" s="41" t="s">
        <v>72</v>
      </c>
      <c r="F66" s="42" t="s">
        <v>129</v>
      </c>
      <c r="G66" s="39">
        <v>40914</v>
      </c>
      <c r="H66" s="40">
        <v>50000000</v>
      </c>
    </row>
    <row r="67" spans="1:8">
      <c r="A67" s="36">
        <v>6218147974</v>
      </c>
      <c r="B67" s="37" t="s">
        <v>77</v>
      </c>
      <c r="C67" s="38" t="s">
        <v>218</v>
      </c>
      <c r="D67" s="43" t="s">
        <v>276</v>
      </c>
      <c r="E67" s="41" t="s">
        <v>72</v>
      </c>
      <c r="F67" s="42" t="s">
        <v>80</v>
      </c>
      <c r="G67" s="39">
        <v>40955</v>
      </c>
      <c r="H67" s="40">
        <v>100000000</v>
      </c>
    </row>
    <row r="68" spans="1:8">
      <c r="A68" s="36">
        <v>6178138249</v>
      </c>
      <c r="B68" s="37" t="s">
        <v>56</v>
      </c>
      <c r="C68" s="38" t="s">
        <v>208</v>
      </c>
      <c r="D68" s="43" t="s">
        <v>277</v>
      </c>
      <c r="E68" s="41" t="s">
        <v>72</v>
      </c>
      <c r="F68" s="42" t="s">
        <v>132</v>
      </c>
      <c r="G68" s="39">
        <v>41686</v>
      </c>
      <c r="H68" s="40">
        <v>50000000</v>
      </c>
    </row>
    <row r="69" spans="1:8">
      <c r="A69" s="36">
        <v>6028123512</v>
      </c>
      <c r="B69" s="37" t="s">
        <v>92</v>
      </c>
      <c r="C69" s="38" t="s">
        <v>219</v>
      </c>
      <c r="D69" s="43" t="s">
        <v>278</v>
      </c>
      <c r="E69" s="41" t="s">
        <v>72</v>
      </c>
      <c r="F69" s="42" t="s">
        <v>117</v>
      </c>
      <c r="G69" s="39">
        <v>40913</v>
      </c>
      <c r="H69" s="40">
        <v>50000000</v>
      </c>
    </row>
    <row r="70" spans="1:8">
      <c r="A70" s="36">
        <v>6028123885</v>
      </c>
      <c r="B70" s="37" t="s">
        <v>116</v>
      </c>
      <c r="C70" s="38" t="s">
        <v>220</v>
      </c>
      <c r="D70" s="43" t="s">
        <v>260</v>
      </c>
      <c r="E70" s="41" t="s">
        <v>37</v>
      </c>
      <c r="F70" s="42" t="s">
        <v>38</v>
      </c>
      <c r="G70" s="39">
        <v>41660</v>
      </c>
      <c r="H70" s="40">
        <v>50000000</v>
      </c>
    </row>
    <row r="71" spans="1:8">
      <c r="A71" s="36">
        <v>6038148935</v>
      </c>
      <c r="B71" s="37" t="s">
        <v>143</v>
      </c>
      <c r="C71" s="38" t="s">
        <v>221</v>
      </c>
      <c r="D71" s="43" t="s">
        <v>279</v>
      </c>
      <c r="E71" s="41" t="s">
        <v>37</v>
      </c>
      <c r="F71" s="42" t="s">
        <v>43</v>
      </c>
      <c r="G71" s="39">
        <v>41309</v>
      </c>
      <c r="H71" s="40">
        <v>50000000</v>
      </c>
    </row>
    <row r="72" spans="1:8">
      <c r="A72" s="36">
        <v>6178138278</v>
      </c>
      <c r="B72" s="37" t="s">
        <v>128</v>
      </c>
      <c r="C72" s="38" t="s">
        <v>222</v>
      </c>
      <c r="D72" s="43" t="s">
        <v>280</v>
      </c>
      <c r="E72" s="41" t="s">
        <v>37</v>
      </c>
      <c r="F72" s="42" t="s">
        <v>38</v>
      </c>
      <c r="G72" s="39">
        <v>40956</v>
      </c>
      <c r="H72" s="40">
        <v>10000000</v>
      </c>
    </row>
    <row r="73" spans="1:8">
      <c r="A73" s="36">
        <v>6028124500</v>
      </c>
      <c r="B73" s="37" t="s">
        <v>136</v>
      </c>
      <c r="C73" s="38" t="s">
        <v>201</v>
      </c>
      <c r="D73" s="43" t="s">
        <v>281</v>
      </c>
      <c r="E73" s="41" t="s">
        <v>37</v>
      </c>
      <c r="F73" s="42" t="s">
        <v>80</v>
      </c>
      <c r="G73" s="39">
        <v>40990</v>
      </c>
      <c r="H73" s="40">
        <v>50000000</v>
      </c>
    </row>
    <row r="74" spans="1:8">
      <c r="A74" s="36">
        <v>6068172251</v>
      </c>
      <c r="B74" s="37" t="s">
        <v>48</v>
      </c>
      <c r="C74" s="38" t="s">
        <v>223</v>
      </c>
      <c r="D74" s="43" t="s">
        <v>282</v>
      </c>
      <c r="E74" s="41" t="s">
        <v>37</v>
      </c>
      <c r="F74" s="42" t="s">
        <v>70</v>
      </c>
      <c r="G74" s="39">
        <v>41638</v>
      </c>
      <c r="H74" s="40">
        <v>50000000</v>
      </c>
    </row>
    <row r="75" spans="1:8">
      <c r="A75" s="36">
        <v>6058152264</v>
      </c>
      <c r="B75" s="37" t="s">
        <v>39</v>
      </c>
      <c r="C75" s="38" t="s">
        <v>224</v>
      </c>
      <c r="D75" s="43" t="s">
        <v>283</v>
      </c>
      <c r="E75" s="41" t="s">
        <v>37</v>
      </c>
      <c r="F75" s="42" t="s">
        <v>139</v>
      </c>
      <c r="G75" s="39">
        <v>40994</v>
      </c>
      <c r="H75" s="40">
        <v>100000000</v>
      </c>
    </row>
    <row r="76" spans="1:8">
      <c r="A76" s="36">
        <v>6088146780</v>
      </c>
      <c r="B76" s="37" t="s">
        <v>39</v>
      </c>
      <c r="C76" s="38" t="s">
        <v>225</v>
      </c>
      <c r="D76" s="43" t="s">
        <v>284</v>
      </c>
      <c r="E76" s="41" t="s">
        <v>37</v>
      </c>
      <c r="F76" s="42" t="s">
        <v>141</v>
      </c>
      <c r="G76" s="39">
        <v>40924</v>
      </c>
      <c r="H76" s="40">
        <v>70000000</v>
      </c>
    </row>
    <row r="77" spans="1:8">
      <c r="A77" s="36">
        <v>6168138097</v>
      </c>
      <c r="B77" s="37" t="s">
        <v>62</v>
      </c>
      <c r="C77" s="38" t="s">
        <v>226</v>
      </c>
      <c r="D77" s="43" t="s">
        <v>285</v>
      </c>
      <c r="E77" s="41" t="s">
        <v>37</v>
      </c>
      <c r="F77" s="42" t="s">
        <v>296</v>
      </c>
      <c r="G77" s="39">
        <v>40956</v>
      </c>
      <c r="H77" s="40">
        <v>50000000</v>
      </c>
    </row>
    <row r="78" spans="1:8">
      <c r="A78" s="36">
        <v>6078158286</v>
      </c>
      <c r="B78" s="37" t="s">
        <v>106</v>
      </c>
      <c r="C78" s="38" t="s">
        <v>208</v>
      </c>
      <c r="D78" s="43" t="s">
        <v>286</v>
      </c>
      <c r="E78" s="41" t="s">
        <v>38</v>
      </c>
      <c r="F78" s="42" t="s">
        <v>144</v>
      </c>
      <c r="G78" s="39">
        <v>40965</v>
      </c>
      <c r="H78" s="40">
        <v>50000000</v>
      </c>
    </row>
    <row r="79" spans="1:8">
      <c r="A79" s="36">
        <v>6068173247</v>
      </c>
      <c r="B79" s="37" t="s">
        <v>42</v>
      </c>
      <c r="C79" s="38" t="s">
        <v>174</v>
      </c>
      <c r="D79" s="43" t="s">
        <v>287</v>
      </c>
      <c r="E79" s="41" t="s">
        <v>146</v>
      </c>
      <c r="F79" s="42" t="s">
        <v>147</v>
      </c>
      <c r="G79" s="39">
        <v>40929</v>
      </c>
      <c r="H79" s="40">
        <v>50000000</v>
      </c>
    </row>
    <row r="80" spans="1:8">
      <c r="A80" s="36">
        <v>6068172977</v>
      </c>
      <c r="B80" s="37" t="s">
        <v>130</v>
      </c>
      <c r="C80" s="38" t="s">
        <v>227</v>
      </c>
      <c r="D80" s="43" t="s">
        <v>288</v>
      </c>
      <c r="E80" s="41" t="s">
        <v>146</v>
      </c>
      <c r="F80" s="42" t="s">
        <v>149</v>
      </c>
      <c r="G80" s="39">
        <v>40928</v>
      </c>
      <c r="H80" s="40">
        <v>50000000</v>
      </c>
    </row>
    <row r="81" spans="1:8">
      <c r="A81" s="36">
        <v>6058151193</v>
      </c>
      <c r="B81" s="37" t="s">
        <v>119</v>
      </c>
      <c r="C81" s="38" t="s">
        <v>228</v>
      </c>
      <c r="D81" s="43" t="s">
        <v>260</v>
      </c>
      <c r="E81" s="41" t="s">
        <v>146</v>
      </c>
      <c r="F81" s="42" t="s">
        <v>151</v>
      </c>
      <c r="G81" s="39">
        <v>41687</v>
      </c>
      <c r="H81" s="40">
        <v>50000000</v>
      </c>
    </row>
    <row r="82" spans="1:8">
      <c r="A82" s="36">
        <v>6028123707</v>
      </c>
      <c r="B82" s="37" t="s">
        <v>152</v>
      </c>
      <c r="C82" s="38" t="s">
        <v>229</v>
      </c>
      <c r="D82" s="43" t="s">
        <v>289</v>
      </c>
      <c r="E82" s="41" t="s">
        <v>146</v>
      </c>
      <c r="F82" s="42" t="s">
        <v>153</v>
      </c>
      <c r="G82" s="39">
        <v>40921</v>
      </c>
      <c r="H82" s="40">
        <v>50000000</v>
      </c>
    </row>
    <row r="83" spans="1:8">
      <c r="A83" s="36">
        <v>6038149298</v>
      </c>
      <c r="B83" s="37" t="s">
        <v>69</v>
      </c>
      <c r="C83" s="38" t="s">
        <v>222</v>
      </c>
      <c r="D83" s="43" t="s">
        <v>290</v>
      </c>
      <c r="E83" s="41" t="s">
        <v>155</v>
      </c>
      <c r="F83" s="42" t="s">
        <v>156</v>
      </c>
      <c r="G83" s="39">
        <v>40992</v>
      </c>
      <c r="H83" s="40">
        <v>100000000</v>
      </c>
    </row>
    <row r="84" spans="1:8">
      <c r="A84" s="36">
        <v>6058151285</v>
      </c>
      <c r="B84" s="37" t="s">
        <v>33</v>
      </c>
      <c r="C84" s="38" t="s">
        <v>230</v>
      </c>
      <c r="D84" s="43" t="s">
        <v>248</v>
      </c>
      <c r="E84" s="41" t="s">
        <v>37</v>
      </c>
      <c r="F84" s="42" t="s">
        <v>292</v>
      </c>
      <c r="G84" s="39">
        <v>40943</v>
      </c>
      <c r="H84" s="40">
        <v>100000000</v>
      </c>
    </row>
    <row r="85" spans="1:8">
      <c r="A85" s="44">
        <v>6218147868</v>
      </c>
      <c r="B85" s="45" t="s">
        <v>98</v>
      </c>
      <c r="C85" s="46" t="s">
        <v>231</v>
      </c>
      <c r="D85" s="51" t="s">
        <v>243</v>
      </c>
      <c r="E85" s="49" t="s">
        <v>37</v>
      </c>
      <c r="F85" s="50" t="s">
        <v>38</v>
      </c>
      <c r="G85" s="47">
        <v>40939</v>
      </c>
      <c r="H85" s="48">
        <v>50000000</v>
      </c>
    </row>
  </sheetData>
  <sortState xmlns:xlrd2="http://schemas.microsoft.com/office/spreadsheetml/2017/richdata2" ref="B2:B85">
    <sortCondition ref="B2:B85"/>
  </sortState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Form</vt:lpstr>
      <vt:lpstr>Supplier</vt:lpstr>
      <vt:lpstr>Address</vt:lpstr>
      <vt:lpstr>BusinessName</vt:lpstr>
      <vt:lpstr>BusinessNumber</vt:lpstr>
      <vt:lpstr>BusinessType</vt:lpstr>
      <vt:lpstr>ManagementNumber</vt:lpstr>
      <vt:lpstr>Name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34061746</cp:lastModifiedBy>
  <cp:lastPrinted>2021-08-21T10:43:23Z</cp:lastPrinted>
  <dcterms:created xsi:type="dcterms:W3CDTF">2015-11-23T05:03:46Z</dcterms:created>
  <dcterms:modified xsi:type="dcterms:W3CDTF">2021-08-21T10:44:09Z</dcterms:modified>
</cp:coreProperties>
</file>