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E3D7D1F2-43E7-4DD7-B5AF-46F82689C475}" xr6:coauthVersionLast="47" xr6:coauthVersionMax="47" xr10:uidLastSave="{00000000-0000-0000-0000-000000000000}"/>
  <bookViews>
    <workbookView xWindow="-100" yWindow="-100" windowWidth="21467" windowHeight="11576" activeTab="3" xr2:uid="{00000000-000D-0000-FFFF-FFFF00000000}"/>
  </bookViews>
  <sheets>
    <sheet name="TestResult" sheetId="1" r:id="rId1"/>
    <sheet name="Supplier" sheetId="2" r:id="rId2"/>
    <sheet name="Quotation" sheetId="3" r:id="rId3"/>
    <sheet name="ColorIndex" sheetId="4" r:id="rId4"/>
  </sheets>
  <definedNames>
    <definedName name="_xlchart.v1.0" hidden="1">TestResult!$L$22:$N$31</definedName>
    <definedName name="_xlchart.v1.1" hidden="1">TestResult!$O$21</definedName>
    <definedName name="_xlchart.v1.2" hidden="1">TestResult!$O$22:$O$31</definedName>
    <definedName name="_xlchart.v1.3" hidden="1">TestResult!$L$12:$L$17</definedName>
    <definedName name="_xlchart.v1.4" hidden="1">TestResult!$M$11</definedName>
    <definedName name="_xlchart.v1.5" hidden="1">TestResult!$M$12:$M$17</definedName>
    <definedName name="고과평가">TestResult!$G$5:$G$23</definedName>
    <definedName name="프로젝트평가">TestResult!$F$5:$F$23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3" l="1"/>
  <c r="L13" i="3"/>
  <c r="J13" i="3"/>
  <c r="H13" i="3"/>
  <c r="I13" i="3" s="1"/>
  <c r="J12" i="3"/>
  <c r="L12" i="3" s="1"/>
  <c r="H12" i="3"/>
  <c r="I12" i="3" s="1"/>
  <c r="J11" i="3"/>
  <c r="L11" i="3" s="1"/>
  <c r="H11" i="3"/>
  <c r="I11" i="3" s="1"/>
  <c r="G11" i="3"/>
  <c r="J10" i="3"/>
  <c r="H10" i="3"/>
  <c r="I10" i="3" s="1"/>
  <c r="J9" i="3"/>
  <c r="H9" i="3"/>
  <c r="I9" i="3" s="1"/>
  <c r="G9" i="3"/>
  <c r="J8" i="3"/>
  <c r="L8" i="3" s="1"/>
  <c r="H8" i="3"/>
  <c r="I8" i="3" s="1"/>
  <c r="G8" i="3"/>
  <c r="L9" i="3" l="1"/>
  <c r="L14" i="3" s="1"/>
  <c r="J14" i="3"/>
  <c r="K14" i="3" l="1"/>
  <c r="M7" i="1" l="1"/>
  <c r="M6" i="1"/>
  <c r="O31" i="1"/>
  <c r="O30" i="1"/>
  <c r="O29" i="1"/>
  <c r="O27" i="1"/>
  <c r="O28" i="1"/>
  <c r="O26" i="1"/>
  <c r="P7" i="1"/>
  <c r="P6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5" i="1"/>
  <c r="O25" i="1" l="1"/>
  <c r="O24" i="1"/>
  <c r="O23" i="1"/>
  <c r="O22" i="1"/>
  <c r="M12" i="1" a="1"/>
  <c r="M17" i="1" s="1"/>
  <c r="M12" i="1" l="1"/>
  <c r="M14" i="1"/>
  <c r="M16" i="1"/>
  <c r="M15" i="1"/>
  <c r="M13" i="1"/>
</calcChain>
</file>

<file path=xl/sharedStrings.xml><?xml version="1.0" encoding="utf-8"?>
<sst xmlns="http://schemas.openxmlformats.org/spreadsheetml/2006/main" count="708" uniqueCount="342">
  <si>
    <t>진급시험 현황</t>
    <phoneticPr fontId="0" type="noConversion"/>
  </si>
  <si>
    <t>성명</t>
    <phoneticPr fontId="0" type="noConversion"/>
  </si>
  <si>
    <t>성별</t>
    <phoneticPr fontId="0" type="noConversion"/>
  </si>
  <si>
    <t>필기평가</t>
    <phoneticPr fontId="0" type="noConversion"/>
  </si>
  <si>
    <t>프로젝트평가</t>
    <phoneticPr fontId="0" type="noConversion"/>
  </si>
  <si>
    <t>고과평가</t>
    <phoneticPr fontId="0" type="noConversion"/>
  </si>
  <si>
    <t>진급결과</t>
    <phoneticPr fontId="0" type="noConversion"/>
  </si>
  <si>
    <t>1. 총괄 집계표</t>
    <phoneticPr fontId="0" type="noConversion"/>
  </si>
  <si>
    <t>전정아</t>
    <phoneticPr fontId="0" type="noConversion"/>
  </si>
  <si>
    <t>여</t>
    <phoneticPr fontId="0" type="noConversion"/>
  </si>
  <si>
    <t>상</t>
    <phoneticPr fontId="0" type="noConversion"/>
  </si>
  <si>
    <t>B</t>
  </si>
  <si>
    <t>진급시험 대상자</t>
    <phoneticPr fontId="0" type="noConversion"/>
  </si>
  <si>
    <t>채안나</t>
    <phoneticPr fontId="0" type="noConversion"/>
  </si>
  <si>
    <t>중</t>
    <phoneticPr fontId="0" type="noConversion"/>
  </si>
  <si>
    <t>A</t>
  </si>
  <si>
    <t>필기시험 응시자</t>
    <phoneticPr fontId="0" type="noConversion"/>
  </si>
  <si>
    <t>양재경</t>
    <phoneticPr fontId="0" type="noConversion"/>
  </si>
  <si>
    <t>남</t>
    <phoneticPr fontId="0" type="noConversion"/>
  </si>
  <si>
    <t>미응시</t>
    <phoneticPr fontId="0" type="noConversion"/>
  </si>
  <si>
    <t>D</t>
  </si>
  <si>
    <t>서아현</t>
    <phoneticPr fontId="0" type="noConversion"/>
  </si>
  <si>
    <t>김의석</t>
    <phoneticPr fontId="0" type="noConversion"/>
  </si>
  <si>
    <t>C</t>
  </si>
  <si>
    <t>정호인</t>
    <phoneticPr fontId="0" type="noConversion"/>
  </si>
  <si>
    <t>하</t>
    <phoneticPr fontId="0" type="noConversion"/>
  </si>
  <si>
    <t>2. 성별 집계표</t>
    <phoneticPr fontId="0" type="noConversion"/>
  </si>
  <si>
    <t>김혜미</t>
    <phoneticPr fontId="0" type="noConversion"/>
  </si>
  <si>
    <t>진급대상자</t>
    <phoneticPr fontId="0" type="noConversion"/>
  </si>
  <si>
    <t>이보석</t>
    <phoneticPr fontId="0" type="noConversion"/>
  </si>
  <si>
    <t>임동혁</t>
    <phoneticPr fontId="0" type="noConversion"/>
  </si>
  <si>
    <t>양미정</t>
    <phoneticPr fontId="0" type="noConversion"/>
  </si>
  <si>
    <t>전성식</t>
    <phoneticPr fontId="0" type="noConversion"/>
  </si>
  <si>
    <t>황민성</t>
    <phoneticPr fontId="0" type="noConversion"/>
  </si>
  <si>
    <t>채희준</t>
    <phoneticPr fontId="0" type="noConversion"/>
  </si>
  <si>
    <t>송민우</t>
    <phoneticPr fontId="0" type="noConversion"/>
  </si>
  <si>
    <t>A</t>
    <phoneticPr fontId="0" type="noConversion"/>
  </si>
  <si>
    <t>정종우</t>
    <phoneticPr fontId="0" type="noConversion"/>
  </si>
  <si>
    <t>채정주</t>
    <phoneticPr fontId="0" type="noConversion"/>
  </si>
  <si>
    <t>반우용</t>
    <phoneticPr fontId="0" type="noConversion"/>
  </si>
  <si>
    <t>고승필</t>
    <phoneticPr fontId="0" type="noConversion"/>
  </si>
  <si>
    <t>이해영</t>
    <phoneticPr fontId="0" type="noConversion"/>
  </si>
  <si>
    <t>점수</t>
    <phoneticPr fontId="0" type="noConversion"/>
  </si>
  <si>
    <t>인원수</t>
    <phoneticPr fontId="0" type="noConversion"/>
  </si>
  <si>
    <t>사업자등록번호</t>
  </si>
  <si>
    <t>상호</t>
  </si>
  <si>
    <t>대표자성명</t>
  </si>
  <si>
    <t>설립일자</t>
  </si>
  <si>
    <t>자본금</t>
  </si>
  <si>
    <t>업태</t>
  </si>
  <si>
    <t>종목</t>
  </si>
  <si>
    <t>성별</t>
  </si>
  <si>
    <t>필드터프승목 주식회사</t>
    <phoneticPr fontId="2" type="noConversion"/>
  </si>
  <si>
    <t>이필희</t>
    <phoneticPr fontId="2" type="noConversion"/>
  </si>
  <si>
    <t>건설업</t>
  </si>
  <si>
    <t>조경공사</t>
  </si>
  <si>
    <t>여</t>
  </si>
  <si>
    <t>(주)제이비씨코퍼레이숀</t>
    <phoneticPr fontId="2" type="noConversion"/>
  </si>
  <si>
    <t>하광인</t>
  </si>
  <si>
    <t>도소매</t>
  </si>
  <si>
    <t>무역</t>
  </si>
  <si>
    <t>남</t>
  </si>
  <si>
    <t>주식회사에이팩토리</t>
    <phoneticPr fontId="2" type="noConversion"/>
  </si>
  <si>
    <t>윤혜숙</t>
    <phoneticPr fontId="2" type="noConversion"/>
  </si>
  <si>
    <t>(주)씨버드</t>
    <phoneticPr fontId="2" type="noConversion"/>
  </si>
  <si>
    <t>노원석</t>
  </si>
  <si>
    <t>냉동수산물，생선（선어）</t>
  </si>
  <si>
    <t>대운교역주식회사</t>
    <phoneticPr fontId="2" type="noConversion"/>
  </si>
  <si>
    <t>최병국</t>
  </si>
  <si>
    <t>무역，건축자재</t>
  </si>
  <si>
    <t>주식회사협신</t>
    <phoneticPr fontId="2" type="noConversion"/>
  </si>
  <si>
    <t>문덕태</t>
  </si>
  <si>
    <t>냉동수산물</t>
  </si>
  <si>
    <t>(주)대강수산</t>
    <phoneticPr fontId="2" type="noConversion"/>
  </si>
  <si>
    <t>오세부</t>
  </si>
  <si>
    <t>(주)한솔물산</t>
    <phoneticPr fontId="2" type="noConversion"/>
  </si>
  <si>
    <t>정건</t>
  </si>
  <si>
    <t>삼호에프엠주식회사</t>
    <phoneticPr fontId="2" type="noConversion"/>
  </si>
  <si>
    <t>김봉조</t>
  </si>
  <si>
    <t>(주)강서인더스트리</t>
    <phoneticPr fontId="2" type="noConversion"/>
  </si>
  <si>
    <t>정용주</t>
  </si>
  <si>
    <t>주식회사동우인터내쇼날</t>
    <phoneticPr fontId="2" type="noConversion"/>
  </si>
  <si>
    <t>공인식</t>
  </si>
  <si>
    <t>농수산물</t>
  </si>
  <si>
    <t>(주)명성종합서비스</t>
  </si>
  <si>
    <t>박진태</t>
  </si>
  <si>
    <t>선용품공급</t>
  </si>
  <si>
    <t>(주)동원물산</t>
    <phoneticPr fontId="2" type="noConversion"/>
  </si>
  <si>
    <t>김재익</t>
  </si>
  <si>
    <t>건강식품</t>
  </si>
  <si>
    <t>(주)반석종합석재</t>
    <phoneticPr fontId="2" type="noConversion"/>
  </si>
  <si>
    <t>장현구</t>
  </si>
  <si>
    <t>석자재</t>
  </si>
  <si>
    <t>주식회사 삼진티씨</t>
    <phoneticPr fontId="2" type="noConversion"/>
  </si>
  <si>
    <t>이순태</t>
  </si>
  <si>
    <t>의류</t>
  </si>
  <si>
    <t>(주)아트인터내셔날</t>
    <phoneticPr fontId="2" type="noConversion"/>
  </si>
  <si>
    <t>김청수</t>
  </si>
  <si>
    <t>건축자재</t>
  </si>
  <si>
    <t>(주)만어수산</t>
  </si>
  <si>
    <t>서만수</t>
  </si>
  <si>
    <t>수산물</t>
  </si>
  <si>
    <t>주식회사우드뱅크</t>
  </si>
  <si>
    <t>박용수</t>
  </si>
  <si>
    <t>목재．합판</t>
  </si>
  <si>
    <t>유한회사경진목재</t>
    <phoneticPr fontId="2" type="noConversion"/>
  </si>
  <si>
    <t>조정훈</t>
  </si>
  <si>
    <t>목재</t>
  </si>
  <si>
    <t>(주)이오푸드</t>
  </si>
  <si>
    <t>이철우</t>
  </si>
  <si>
    <t>(주)천일인더스트리</t>
  </si>
  <si>
    <t>서순선</t>
  </si>
  <si>
    <t>재봉기계</t>
  </si>
  <si>
    <t>티케이공구(주)</t>
  </si>
  <si>
    <t>이강욱</t>
  </si>
  <si>
    <t>기계공구</t>
  </si>
  <si>
    <t>스피드(주)</t>
  </si>
  <si>
    <t>이지환</t>
  </si>
  <si>
    <t>도매</t>
  </si>
  <si>
    <t>(주)베스트마린씨푸드</t>
  </si>
  <si>
    <t>강윤희</t>
  </si>
  <si>
    <t>은성트레이딩 주식회사</t>
  </si>
  <si>
    <t>김대상</t>
  </si>
  <si>
    <t>무역（유리）</t>
  </si>
  <si>
    <t>(주)철국</t>
  </si>
  <si>
    <t>김현주</t>
  </si>
  <si>
    <t>파지，고철，비철</t>
  </si>
  <si>
    <t>제이케이월드 주식회사</t>
    <phoneticPr fontId="2" type="noConversion"/>
  </si>
  <si>
    <t>박외준</t>
  </si>
  <si>
    <t>(주)에이치리프로모션</t>
  </si>
  <si>
    <t>이현욱</t>
  </si>
  <si>
    <t>(주)제이플러스</t>
    <phoneticPr fontId="2" type="noConversion"/>
  </si>
  <si>
    <t>이종훈</t>
  </si>
  <si>
    <t>무역업</t>
  </si>
  <si>
    <t>(주)에이블텍</t>
  </si>
  <si>
    <t>안창호</t>
  </si>
  <si>
    <t>(주)엔시스</t>
    <phoneticPr fontId="2" type="noConversion"/>
  </si>
  <si>
    <t>진병명</t>
  </si>
  <si>
    <t>(주)에오커뮤니케이션</t>
  </si>
  <si>
    <t>권미연</t>
  </si>
  <si>
    <t>(주)재형수산</t>
  </si>
  <si>
    <t>김동규</t>
  </si>
  <si>
    <t>(주)구보상사</t>
  </si>
  <si>
    <t>안병환</t>
  </si>
  <si>
    <t>(주)부전무역</t>
  </si>
  <si>
    <t>이훈</t>
  </si>
  <si>
    <t>(주)씨월드코리아</t>
  </si>
  <si>
    <t>김성희</t>
  </si>
  <si>
    <t>(주)남경테크</t>
  </si>
  <si>
    <t>이춘성</t>
  </si>
  <si>
    <t>화공약품</t>
  </si>
  <si>
    <t>성호특수강(주)</t>
  </si>
  <si>
    <t>장기호</t>
  </si>
  <si>
    <t>스텐레스</t>
  </si>
  <si>
    <t>주식회사 웰텍</t>
  </si>
  <si>
    <t>김진환</t>
  </si>
  <si>
    <t>섬유，화학</t>
  </si>
  <si>
    <t>(주)간구무역</t>
  </si>
  <si>
    <t>이해재</t>
  </si>
  <si>
    <t>기타무역</t>
  </si>
  <si>
    <t>금호글로벌주식회사</t>
    <phoneticPr fontId="2" type="noConversion"/>
  </si>
  <si>
    <t>이호선</t>
  </si>
  <si>
    <t>(주)디앤에프</t>
  </si>
  <si>
    <t>김기환</t>
  </si>
  <si>
    <t>수산물수입</t>
  </si>
  <si>
    <t>하이넷코리아(주)</t>
  </si>
  <si>
    <t>안만길</t>
  </si>
  <si>
    <t>(주)윤쉽핑</t>
    <phoneticPr fontId="2" type="noConversion"/>
  </si>
  <si>
    <t>윤태식</t>
  </si>
  <si>
    <t>(주)대주엔텍</t>
  </si>
  <si>
    <t>김성수</t>
  </si>
  <si>
    <t>동아푸드뱅크주식회사</t>
  </si>
  <si>
    <t>이동준</t>
  </si>
  <si>
    <t>(주)제이앤에이치트레이딩</t>
    <phoneticPr fontId="2" type="noConversion"/>
  </si>
  <si>
    <t>이진호</t>
  </si>
  <si>
    <t>(주)삼경코프레이션</t>
  </si>
  <si>
    <t>정병섭</t>
  </si>
  <si>
    <t>무역（신발）</t>
  </si>
  <si>
    <t>(주)욱일무역</t>
  </si>
  <si>
    <t>황윤항</t>
  </si>
  <si>
    <t>주식회사플러스원</t>
  </si>
  <si>
    <t>김영곤</t>
  </si>
  <si>
    <t>선박용부품</t>
  </si>
  <si>
    <t>(주)아미물산</t>
  </si>
  <si>
    <t>양경복</t>
  </si>
  <si>
    <t>(주)성아무역</t>
  </si>
  <si>
    <t>홍한진</t>
  </si>
  <si>
    <t>삼호목재㈜</t>
    <phoneticPr fontId="2" type="noConversion"/>
  </si>
  <si>
    <t>김용범</t>
  </si>
  <si>
    <t>(주)팍스무역</t>
  </si>
  <si>
    <t>박영봉</t>
  </si>
  <si>
    <t>(주)금양스틸</t>
  </si>
  <si>
    <t>이병윤</t>
  </si>
  <si>
    <t>스텐레스강</t>
  </si>
  <si>
    <t>삼주코포레이션주식회사</t>
  </si>
  <si>
    <t>박재윤</t>
  </si>
  <si>
    <t>(주)거성티엔씨</t>
  </si>
  <si>
    <t>오동환</t>
  </si>
  <si>
    <t>주식회사 제원</t>
  </si>
  <si>
    <t>김영기</t>
  </si>
  <si>
    <t>선용품</t>
  </si>
  <si>
    <t>유니콘코퍼레이션(주)</t>
  </si>
  <si>
    <t>정상태</t>
  </si>
  <si>
    <t>태유강업(주)</t>
  </si>
  <si>
    <t>배병학</t>
  </si>
  <si>
    <t>철재</t>
  </si>
  <si>
    <t>(주)팬라이프코리아</t>
  </si>
  <si>
    <t>최명환</t>
  </si>
  <si>
    <t>가정용전기기기</t>
  </si>
  <si>
    <t>(주)시티통상</t>
  </si>
  <si>
    <t>도정헌</t>
  </si>
  <si>
    <t>무역（수출）</t>
  </si>
  <si>
    <t>(주)제이케이</t>
  </si>
  <si>
    <t>김재열</t>
  </si>
  <si>
    <t>중고기계수입판매업</t>
  </si>
  <si>
    <t>(주)가나무역</t>
  </si>
  <si>
    <t>조일수</t>
  </si>
  <si>
    <t>의류，내의</t>
  </si>
  <si>
    <t>주식회사 평화무역</t>
    <phoneticPr fontId="2" type="noConversion"/>
  </si>
  <si>
    <t>공장부</t>
  </si>
  <si>
    <t>무역（수출입）</t>
  </si>
  <si>
    <t>케이．엘．디이 주식회사</t>
  </si>
  <si>
    <t>장익언</t>
  </si>
  <si>
    <t>(주)월드펌</t>
  </si>
  <si>
    <t>윤종한</t>
  </si>
  <si>
    <t>농축산물수출입</t>
  </si>
  <si>
    <t>(주)티케이</t>
  </si>
  <si>
    <t>이인호</t>
  </si>
  <si>
    <t>에스엠이주식회사</t>
  </si>
  <si>
    <t>현승호</t>
  </si>
  <si>
    <t>(주)거창</t>
  </si>
  <si>
    <t>송미영</t>
  </si>
  <si>
    <t>(유)케이막스</t>
  </si>
  <si>
    <t>정은평</t>
  </si>
  <si>
    <t>주식회사 효진인터내셔날</t>
  </si>
  <si>
    <t>최유홍</t>
  </si>
  <si>
    <t>세명무역상사(주)</t>
  </si>
  <si>
    <t>정상호</t>
  </si>
  <si>
    <t>연산철판(주)</t>
  </si>
  <si>
    <t>안상부</t>
  </si>
  <si>
    <t>철판</t>
  </si>
  <si>
    <t>(주)마창카오디오</t>
    <phoneticPr fontId="2" type="noConversion"/>
  </si>
  <si>
    <t>전진호</t>
  </si>
  <si>
    <t>카오디오</t>
  </si>
  <si>
    <t>(주)동방수산</t>
    <phoneticPr fontId="2" type="noConversion"/>
  </si>
  <si>
    <t>이창우</t>
  </si>
  <si>
    <t>수산물，수산물수출입</t>
  </si>
  <si>
    <t>주식회사 켐우드</t>
    <phoneticPr fontId="2" type="noConversion"/>
  </si>
  <si>
    <t>최대현</t>
  </si>
  <si>
    <t>화공약품．목재</t>
  </si>
  <si>
    <t>(주)위드골드닷컴</t>
    <phoneticPr fontId="2" type="noConversion"/>
  </si>
  <si>
    <t>양정문</t>
  </si>
  <si>
    <t>서비스</t>
  </si>
  <si>
    <t>소프트웨어개발</t>
  </si>
  <si>
    <t>(주)스케쳐스 코리아</t>
    <phoneticPr fontId="2" type="noConversion"/>
  </si>
  <si>
    <t>조종수</t>
    <phoneticPr fontId="2" type="noConversion"/>
  </si>
  <si>
    <t>수출주선</t>
  </si>
  <si>
    <t>(주)에이케이라인</t>
    <phoneticPr fontId="2" type="noConversion"/>
  </si>
  <si>
    <t>이상평</t>
  </si>
  <si>
    <t>해운중개</t>
  </si>
  <si>
    <t>태평양환경방제 주식회사</t>
    <phoneticPr fontId="2" type="noConversion"/>
  </si>
  <si>
    <t>안상환</t>
  </si>
  <si>
    <t>방역및청소</t>
  </si>
  <si>
    <t>대양피셔리㈜</t>
    <phoneticPr fontId="2" type="noConversion"/>
  </si>
  <si>
    <t>석길홍</t>
  </si>
  <si>
    <t>어업</t>
  </si>
  <si>
    <t>채낚기</t>
  </si>
  <si>
    <t>윤혜숙</t>
  </si>
  <si>
    <t>부서명</t>
  </si>
  <si>
    <t>상</t>
  </si>
  <si>
    <t>김병배</t>
  </si>
  <si>
    <t>고송주</t>
  </si>
  <si>
    <t>한정희</t>
  </si>
  <si>
    <t>박기홍</t>
  </si>
  <si>
    <t>고재현</t>
  </si>
  <si>
    <t>지영철</t>
  </si>
  <si>
    <t>김정기</t>
  </si>
  <si>
    <t>마소정</t>
  </si>
  <si>
    <t>이두원</t>
  </si>
  <si>
    <t>김도영</t>
  </si>
  <si>
    <t>조윤정</t>
  </si>
  <si>
    <t>차상헌</t>
  </si>
  <si>
    <t>강필구</t>
  </si>
  <si>
    <t>박선정</t>
  </si>
  <si>
    <t>박종욱</t>
  </si>
  <si>
    <t>김정렬</t>
  </si>
  <si>
    <t>최원연</t>
  </si>
  <si>
    <t>박종학</t>
  </si>
  <si>
    <t>최은석</t>
  </si>
  <si>
    <t>총무팀</t>
  </si>
  <si>
    <t>기획팀</t>
  </si>
  <si>
    <t>구매팀</t>
  </si>
  <si>
    <t>영업팀</t>
  </si>
  <si>
    <t>운영팀</t>
  </si>
  <si>
    <t>홍보팀</t>
  </si>
  <si>
    <t>3. 필기 평가 점수분포표</t>
  </si>
  <si>
    <t>분석항목</t>
  </si>
  <si>
    <t>총진급결과</t>
  </si>
  <si>
    <t>미진급 인원</t>
  </si>
  <si>
    <t>진급 인원</t>
  </si>
  <si>
    <t>프로젝트평가</t>
  </si>
  <si>
    <t>중</t>
  </si>
  <si>
    <t>하</t>
  </si>
  <si>
    <t>고과평가</t>
  </si>
  <si>
    <t>C이하</t>
  </si>
  <si>
    <t>구분1</t>
  </si>
  <si>
    <t>구분2</t>
  </si>
  <si>
    <t>결과</t>
  </si>
  <si>
    <t>4. 항목별 전체 집계</t>
  </si>
  <si>
    <t>항목명</t>
  </si>
  <si>
    <t>인원수</t>
  </si>
  <si>
    <t>NO</t>
    <phoneticPr fontId="3" type="noConversion"/>
  </si>
  <si>
    <t>재질</t>
  </si>
  <si>
    <t>제품</t>
  </si>
  <si>
    <t>연마기준</t>
  </si>
  <si>
    <t>예상 성형중량</t>
  </si>
  <si>
    <t>ACME 예상 단가</t>
    <phoneticPr fontId="3" type="noConversion"/>
  </si>
  <si>
    <t>조정 견적 단가</t>
    <phoneticPr fontId="3" type="noConversion"/>
  </si>
  <si>
    <t>년간 소요량</t>
    <phoneticPr fontId="3" type="noConversion"/>
  </si>
  <si>
    <t>(g/Pcs)</t>
    <phoneticPr fontId="3" type="noConversion"/>
  </si>
  <si>
    <t>(USD)</t>
  </si>
  <si>
    <t>(￦/g)</t>
  </si>
  <si>
    <t>SM-43T</t>
  </si>
  <si>
    <t>SD50*10*2.5T</t>
  </si>
  <si>
    <t>2면 연마</t>
    <phoneticPr fontId="3" type="noConversion"/>
  </si>
  <si>
    <t>SM-23T</t>
  </si>
  <si>
    <t>SD90*8*3.85T</t>
  </si>
  <si>
    <t>SD63*7-2.1T</t>
  </si>
  <si>
    <t>-</t>
    <phoneticPr fontId="3" type="noConversion"/>
  </si>
  <si>
    <t>SD66*12-3T</t>
  </si>
  <si>
    <t>SD53*12-3T</t>
  </si>
  <si>
    <t>SD47*9-3T</t>
  </si>
  <si>
    <t>TOTAL</t>
    <phoneticPr fontId="3" type="noConversion"/>
  </si>
  <si>
    <t>신제품  ITEM 견적 검토</t>
  </si>
  <si>
    <t>누적 검토 건수</t>
  </si>
  <si>
    <t>1면 연마</t>
  </si>
  <si>
    <t>5면 연마</t>
  </si>
  <si>
    <t>4면 연마</t>
  </si>
  <si>
    <t>3면 연마</t>
  </si>
  <si>
    <t>년간 금액
(조정전)
US$</t>
  </si>
  <si>
    <t>년간 금액
(조정후)
US$</t>
  </si>
  <si>
    <t>검토 건수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</si>
</sst>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164" formatCode="0_);[Red]\(0\)"/>
    <numFmt numFmtId="165" formatCode="0\ &quot;명&quot;"/>
    <numFmt numFmtId="166" formatCode="###\-##\-#####"/>
    <numFmt numFmtId="167" formatCode="yy/mm/dd"/>
    <numFmt numFmtId="168" formatCode="_(* #,##0_);_(* \(#,##0\);_(* &quot;-&quot;_);_(@_)"/>
    <numFmt numFmtId="169" formatCode="0\ &quot;건&quot;"/>
    <numFmt numFmtId="170" formatCode="\5\1&quot;점&quot;\ \~\ 0&quot;점&quot;"/>
    <numFmt numFmtId="171" formatCode="&quot;0점&quot;\ \~\ 0&quot;점&quot;"/>
    <numFmt numFmtId="172" formatCode="\6\1&quot;점&quot;\ \~\ 0&quot;점&quot;"/>
    <numFmt numFmtId="173" formatCode="\7\1&quot;점&quot;\ \~\ 0&quot;점&quot;"/>
    <numFmt numFmtId="174" formatCode="\8\1&quot;점&quot;\ \~\ 0&quot;점&quot;"/>
    <numFmt numFmtId="175" formatCode="\9\1&quot;점&quot;\ \~\ 0&quot;점&quot;"/>
    <numFmt numFmtId="176" formatCode="0.0000_ "/>
    <numFmt numFmtId="177" formatCode="0.00_ "/>
    <numFmt numFmtId="178" formatCode="#,##0.0000_ "/>
    <numFmt numFmtId="179" formatCode="#,##0_ "/>
    <numFmt numFmtId="180" formatCode="&quot;US$&quot;#,##0"/>
    <numFmt numFmtId="181" formatCode="_-* #,##0.0000_-;\-* #,##0.0000_-;_-* &quot;-&quot;????_-;_-@_-"/>
  </numFmts>
  <fonts count="23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name val="Calibri"/>
      <family val="2"/>
      <charset val="129"/>
      <scheme val="minor"/>
    </font>
    <font>
      <b/>
      <sz val="16"/>
      <name val="Calibri"/>
      <family val="2"/>
      <charset val="129"/>
      <scheme val="minor"/>
    </font>
    <font>
      <b/>
      <sz val="14"/>
      <name val="Calibri"/>
      <family val="2"/>
      <charset val="129"/>
      <scheme val="minor"/>
    </font>
    <font>
      <b/>
      <sz val="11"/>
      <name val="Calibri"/>
      <family val="2"/>
      <charset val="129"/>
      <scheme val="minor"/>
    </font>
    <font>
      <b/>
      <sz val="12"/>
      <name val="Calibri"/>
      <family val="2"/>
      <charset val="129"/>
      <scheme val="minor"/>
    </font>
    <font>
      <sz val="10"/>
      <name val="돋움"/>
      <family val="3"/>
      <charset val="129"/>
    </font>
    <font>
      <b/>
      <sz val="11"/>
      <name val="Calibri"/>
      <family val="3"/>
      <charset val="129"/>
      <scheme val="minor"/>
    </font>
    <font>
      <sz val="11"/>
      <name val="굴림체"/>
      <family val="3"/>
      <charset val="129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3"/>
      <charset val="129"/>
      <scheme val="minor"/>
    </font>
    <font>
      <sz val="10"/>
      <name val="Calibri"/>
      <family val="3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20"/>
      <color theme="0"/>
      <name val="Calibri"/>
      <family val="3"/>
      <charset val="129"/>
      <scheme val="minor"/>
    </font>
    <font>
      <sz val="11"/>
      <color theme="0"/>
      <name val="Calibri"/>
      <family val="3"/>
      <charset val="129"/>
      <scheme val="minor"/>
    </font>
    <font>
      <sz val="8"/>
      <name val="Calibri"/>
      <family val="2"/>
      <charset val="129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8" tint="-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1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2" borderId="2" applyNumberFormat="0" applyFont="0" applyAlignment="0" applyProtection="0"/>
    <xf numFmtId="0" fontId="9" fillId="0" borderId="0"/>
    <xf numFmtId="168" fontId="1" fillId="0" borderId="0" applyFont="0" applyFill="0" applyBorder="0" applyAlignment="0" applyProtection="0">
      <alignment vertical="center"/>
    </xf>
    <xf numFmtId="0" fontId="11" fillId="0" borderId="0"/>
  </cellStyleXfs>
  <cellXfs count="169">
    <xf numFmtId="0" fontId="0" fillId="0" borderId="0" xfId="0"/>
    <xf numFmtId="0" fontId="0" fillId="0" borderId="0" xfId="0" applyFill="1"/>
    <xf numFmtId="41" fontId="4" fillId="0" borderId="0" xfId="1" applyFont="1" applyFill="1" applyAlignment="1">
      <alignment vertical="center"/>
    </xf>
    <xf numFmtId="41" fontId="6" fillId="0" borderId="0" xfId="1" applyFont="1" applyFill="1" applyAlignment="1">
      <alignment vertical="center"/>
    </xf>
    <xf numFmtId="0" fontId="4" fillId="0" borderId="0" xfId="0" applyFont="1" applyFill="1"/>
    <xf numFmtId="41" fontId="4" fillId="0" borderId="0" xfId="1" applyFont="1" applyFill="1" applyAlignment="1">
      <alignment horizontal="center" vertical="center"/>
    </xf>
    <xf numFmtId="41" fontId="7" fillId="0" borderId="4" xfId="1" applyFont="1" applyFill="1" applyBorder="1" applyAlignment="1">
      <alignment horizontal="center" vertical="center"/>
    </xf>
    <xf numFmtId="41" fontId="7" fillId="0" borderId="4" xfId="1" applyFont="1" applyFill="1" applyBorder="1" applyAlignment="1">
      <alignment horizontal="center" vertical="center" shrinkToFit="1"/>
    </xf>
    <xf numFmtId="41" fontId="4" fillId="0" borderId="0" xfId="1" applyFont="1" applyFill="1" applyBorder="1" applyAlignment="1">
      <alignment vertical="center"/>
    </xf>
    <xf numFmtId="41" fontId="8" fillId="0" borderId="0" xfId="1" applyFont="1" applyFill="1" applyAlignment="1">
      <alignment vertical="center"/>
    </xf>
    <xf numFmtId="164" fontId="4" fillId="0" borderId="4" xfId="1" applyNumberFormat="1" applyFont="1" applyFill="1" applyBorder="1" applyAlignment="1">
      <alignment horizontal="center" vertical="center"/>
    </xf>
    <xf numFmtId="0" fontId="4" fillId="0" borderId="4" xfId="1" applyNumberFormat="1" applyFont="1" applyFill="1" applyBorder="1" applyAlignment="1">
      <alignment horizontal="center" vertical="center"/>
    </xf>
    <xf numFmtId="41" fontId="4" fillId="0" borderId="4" xfId="1" applyFont="1" applyFill="1" applyBorder="1" applyAlignment="1">
      <alignment horizontal="center" vertical="center"/>
    </xf>
    <xf numFmtId="165" fontId="4" fillId="0" borderId="5" xfId="3" applyNumberFormat="1" applyFont="1" applyFill="1" applyBorder="1" applyAlignment="1">
      <alignment horizontal="center" vertical="center"/>
    </xf>
    <xf numFmtId="0" fontId="4" fillId="0" borderId="4" xfId="1" quotePrefix="1" applyNumberFormat="1" applyFont="1" applyFill="1" applyBorder="1" applyAlignment="1">
      <alignment horizontal="center" vertical="center"/>
    </xf>
    <xf numFmtId="166" fontId="3" fillId="0" borderId="0" xfId="4" applyNumberFormat="1" applyFont="1" applyFill="1" applyBorder="1" applyAlignment="1" applyProtection="1">
      <alignment horizontal="center" vertical="center"/>
      <protection locked="0"/>
    </xf>
    <xf numFmtId="49" fontId="3" fillId="0" borderId="0" xfId="4" applyNumberFormat="1" applyFont="1" applyFill="1" applyBorder="1" applyAlignment="1" applyProtection="1">
      <alignment horizontal="left" vertical="center"/>
      <protection locked="0"/>
    </xf>
    <xf numFmtId="0" fontId="3" fillId="0" borderId="0" xfId="4" applyFont="1" applyFill="1" applyBorder="1" applyAlignment="1" applyProtection="1">
      <alignment horizontal="center" vertical="center"/>
      <protection locked="0"/>
    </xf>
    <xf numFmtId="167" fontId="3" fillId="0" borderId="0" xfId="4" applyNumberFormat="1" applyFont="1" applyFill="1" applyBorder="1" applyAlignment="1" applyProtection="1">
      <alignment horizontal="center" vertical="center"/>
      <protection locked="0"/>
    </xf>
    <xf numFmtId="168" fontId="3" fillId="0" borderId="0" xfId="5" applyFont="1" applyFill="1" applyBorder="1" applyAlignment="1" applyProtection="1">
      <alignment horizontal="right" vertical="center"/>
      <protection locked="0"/>
    </xf>
    <xf numFmtId="0" fontId="3" fillId="0" borderId="0" xfId="4" applyFont="1" applyFill="1" applyBorder="1" applyAlignment="1" applyProtection="1">
      <alignment horizontal="left" vertical="center"/>
      <protection locked="0"/>
    </xf>
    <xf numFmtId="166" fontId="10" fillId="0" borderId="0" xfId="4" applyNumberFormat="1" applyFont="1" applyFill="1" applyBorder="1" applyAlignment="1" applyProtection="1">
      <alignment horizontal="center" vertical="center"/>
      <protection locked="0"/>
    </xf>
    <xf numFmtId="0" fontId="10" fillId="0" borderId="0" xfId="4" applyFont="1" applyFill="1" applyBorder="1" applyAlignment="1" applyProtection="1">
      <alignment horizontal="center" vertical="center"/>
      <protection locked="0"/>
    </xf>
    <xf numFmtId="167" fontId="10" fillId="0" borderId="0" xfId="4" applyNumberFormat="1" applyFont="1" applyFill="1" applyBorder="1" applyAlignment="1" applyProtection="1">
      <alignment horizontal="center" vertical="center"/>
      <protection locked="0"/>
    </xf>
    <xf numFmtId="168" fontId="10" fillId="0" borderId="0" xfId="5" applyFont="1" applyFill="1" applyBorder="1" applyAlignment="1" applyProtection="1">
      <alignment horizontal="center" vertical="center"/>
      <protection locked="0"/>
    </xf>
    <xf numFmtId="166" fontId="3" fillId="3" borderId="0" xfId="4" applyNumberFormat="1" applyFont="1" applyFill="1" applyBorder="1" applyAlignment="1" applyProtection="1">
      <alignment horizontal="center" vertical="center"/>
      <protection locked="0"/>
    </xf>
    <xf numFmtId="49" fontId="3" fillId="3" borderId="0" xfId="4" applyNumberFormat="1" applyFont="1" applyFill="1" applyBorder="1" applyAlignment="1" applyProtection="1">
      <alignment horizontal="left" vertical="center"/>
      <protection locked="0"/>
    </xf>
    <xf numFmtId="0" fontId="3" fillId="3" borderId="0" xfId="4" applyFont="1" applyFill="1" applyBorder="1" applyAlignment="1" applyProtection="1">
      <alignment horizontal="center" vertical="center"/>
      <protection locked="0"/>
    </xf>
    <xf numFmtId="167" fontId="3" fillId="3" borderId="0" xfId="4" applyNumberFormat="1" applyFont="1" applyFill="1" applyBorder="1" applyAlignment="1" applyProtection="1">
      <alignment horizontal="center" vertical="center"/>
      <protection locked="0"/>
    </xf>
    <xf numFmtId="168" fontId="3" fillId="3" borderId="0" xfId="5" applyFont="1" applyFill="1" applyBorder="1" applyAlignment="1" applyProtection="1">
      <alignment horizontal="right" vertical="center"/>
      <protection locked="0"/>
    </xf>
    <xf numFmtId="0" fontId="3" fillId="3" borderId="0" xfId="4" applyFont="1" applyFill="1" applyBorder="1" applyAlignment="1" applyProtection="1">
      <alignment horizontal="left" vertical="center"/>
      <protection locked="0"/>
    </xf>
    <xf numFmtId="0" fontId="3" fillId="0" borderId="0" xfId="6" applyFont="1" applyAlignment="1">
      <alignment vertical="center"/>
    </xf>
    <xf numFmtId="41" fontId="4" fillId="0" borderId="5" xfId="1" applyFont="1" applyFill="1" applyBorder="1" applyAlignment="1">
      <alignment horizontal="center" vertical="center"/>
    </xf>
    <xf numFmtId="41" fontId="13" fillId="4" borderId="5" xfId="1" applyFont="1" applyFill="1" applyBorder="1" applyAlignment="1">
      <alignment horizontal="center" vertical="center"/>
    </xf>
    <xf numFmtId="41" fontId="13" fillId="4" borderId="6" xfId="1" applyFont="1" applyFill="1" applyBorder="1" applyAlignment="1">
      <alignment horizontal="center" vertical="center"/>
    </xf>
    <xf numFmtId="165" fontId="13" fillId="5" borderId="5" xfId="3" applyNumberFormat="1" applyFont="1" applyFill="1" applyBorder="1" applyAlignment="1">
      <alignment horizontal="center" vertical="center"/>
    </xf>
    <xf numFmtId="41" fontId="13" fillId="5" borderId="5" xfId="1" applyFont="1" applyFill="1" applyBorder="1" applyAlignment="1">
      <alignment horizontal="center" vertical="center"/>
    </xf>
    <xf numFmtId="0" fontId="14" fillId="6" borderId="19" xfId="0" applyFont="1" applyFill="1" applyBorder="1" applyAlignment="1">
      <alignment horizontal="center" vertical="center" wrapText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26" xfId="0" applyFont="1" applyFill="1" applyBorder="1" applyAlignment="1">
      <alignment horizontal="center" vertical="center" wrapText="1"/>
    </xf>
    <xf numFmtId="0" fontId="14" fillId="7" borderId="27" xfId="0" applyFont="1" applyFill="1" applyBorder="1" applyAlignment="1">
      <alignment horizontal="center" vertical="center" wrapText="1"/>
    </xf>
    <xf numFmtId="0" fontId="14" fillId="7" borderId="28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16" fillId="7" borderId="5" xfId="6" applyFont="1" applyFill="1" applyBorder="1" applyAlignment="1">
      <alignment horizontal="center" vertical="center"/>
    </xf>
    <xf numFmtId="0" fontId="17" fillId="7" borderId="5" xfId="6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 wrapText="1"/>
    </xf>
    <xf numFmtId="176" fontId="14" fillId="6" borderId="5" xfId="0" applyNumberFormat="1" applyFont="1" applyFill="1" applyBorder="1" applyAlignment="1">
      <alignment horizontal="center" vertical="center" wrapText="1"/>
    </xf>
    <xf numFmtId="177" fontId="14" fillId="6" borderId="29" xfId="0" applyNumberFormat="1" applyFont="1" applyFill="1" applyBorder="1" applyAlignment="1">
      <alignment horizontal="center" vertical="center" wrapText="1"/>
    </xf>
    <xf numFmtId="178" fontId="18" fillId="7" borderId="9" xfId="5" applyNumberFormat="1" applyFont="1" applyFill="1" applyBorder="1" applyAlignment="1">
      <alignment vertical="center"/>
    </xf>
    <xf numFmtId="177" fontId="14" fillId="7" borderId="10" xfId="0" applyNumberFormat="1" applyFont="1" applyFill="1" applyBorder="1" applyAlignment="1">
      <alignment horizontal="center" vertical="center" wrapText="1"/>
    </xf>
    <xf numFmtId="179" fontId="15" fillId="6" borderId="9" xfId="0" applyNumberFormat="1" applyFont="1" applyFill="1" applyBorder="1" applyAlignment="1">
      <alignment horizontal="center" vertical="center" wrapText="1"/>
    </xf>
    <xf numFmtId="181" fontId="18" fillId="7" borderId="9" xfId="5" applyNumberFormat="1" applyFont="1" applyFill="1" applyBorder="1" applyAlignment="1">
      <alignment vertical="center"/>
    </xf>
    <xf numFmtId="0" fontId="14" fillId="6" borderId="5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5" fillId="6" borderId="30" xfId="0" applyFont="1" applyFill="1" applyBorder="1" applyAlignment="1">
      <alignment horizontal="center" vertical="center" wrapText="1"/>
    </xf>
    <xf numFmtId="0" fontId="16" fillId="7" borderId="6" xfId="6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31" xfId="0" applyFont="1" applyFill="1" applyBorder="1" applyAlignment="1">
      <alignment horizontal="center" vertical="center" wrapText="1"/>
    </xf>
    <xf numFmtId="181" fontId="18" fillId="7" borderId="30" xfId="5" applyNumberFormat="1" applyFont="1" applyFill="1" applyBorder="1" applyAlignment="1">
      <alignment vertical="center"/>
    </xf>
    <xf numFmtId="177" fontId="14" fillId="7" borderId="32" xfId="0" applyNumberFormat="1" applyFont="1" applyFill="1" applyBorder="1" applyAlignment="1">
      <alignment horizontal="center" vertical="center" wrapText="1"/>
    </xf>
    <xf numFmtId="179" fontId="15" fillId="6" borderId="30" xfId="0" applyNumberFormat="1" applyFont="1" applyFill="1" applyBorder="1" applyAlignment="1">
      <alignment horizontal="center" vertical="center" wrapText="1"/>
    </xf>
    <xf numFmtId="179" fontId="19" fillId="0" borderId="36" xfId="0" applyNumberFormat="1" applyFont="1" applyBorder="1" applyAlignment="1">
      <alignment horizontal="center" vertical="center"/>
    </xf>
    <xf numFmtId="180" fontId="19" fillId="0" borderId="35" xfId="0" applyNumberFormat="1" applyFont="1" applyBorder="1" applyAlignment="1">
      <alignment horizontal="center" vertical="center"/>
    </xf>
    <xf numFmtId="0" fontId="20" fillId="5" borderId="0" xfId="6" applyFont="1" applyFill="1" applyAlignment="1">
      <alignment horizontal="centerContinuous" vertical="center"/>
    </xf>
    <xf numFmtId="0" fontId="21" fillId="5" borderId="0" xfId="6" applyFont="1" applyFill="1" applyAlignment="1">
      <alignment horizontal="centerContinuous" vertical="center"/>
    </xf>
    <xf numFmtId="0" fontId="21" fillId="5" borderId="0" xfId="0" applyFont="1" applyFill="1" applyAlignment="1">
      <alignment horizontal="centerContinuous"/>
    </xf>
    <xf numFmtId="180" fontId="19" fillId="8" borderId="35" xfId="0" applyNumberFormat="1" applyFont="1" applyFill="1" applyBorder="1" applyAlignment="1">
      <alignment horizontal="center" vertical="center"/>
    </xf>
    <xf numFmtId="3" fontId="15" fillId="6" borderId="10" xfId="0" applyNumberFormat="1" applyFont="1" applyFill="1" applyBorder="1" applyAlignment="1">
      <alignment horizontal="center" vertical="center" wrapText="1"/>
    </xf>
    <xf numFmtId="3" fontId="15" fillId="8" borderId="10" xfId="0" applyNumberFormat="1" applyFont="1" applyFill="1" applyBorder="1" applyAlignment="1">
      <alignment horizontal="center" vertical="center" wrapText="1"/>
    </xf>
    <xf numFmtId="3" fontId="15" fillId="6" borderId="32" xfId="0" applyNumberFormat="1" applyFont="1" applyFill="1" applyBorder="1" applyAlignment="1">
      <alignment horizontal="center" vertical="center" wrapText="1"/>
    </xf>
    <xf numFmtId="169" fontId="3" fillId="8" borderId="12" xfId="6" applyNumberFormat="1" applyFont="1" applyFill="1" applyBorder="1" applyAlignment="1">
      <alignment horizontal="right" vertical="center" indent="2"/>
    </xf>
    <xf numFmtId="169" fontId="3" fillId="8" borderId="14" xfId="6" applyNumberFormat="1" applyFont="1" applyFill="1" applyBorder="1" applyAlignment="1">
      <alignment horizontal="right" vertical="center" indent="2"/>
    </xf>
    <xf numFmtId="164" fontId="4" fillId="0" borderId="6" xfId="1" applyNumberFormat="1" applyFont="1" applyFill="1" applyBorder="1" applyAlignment="1">
      <alignment horizontal="center" vertical="center"/>
    </xf>
    <xf numFmtId="164" fontId="4" fillId="0" borderId="15" xfId="1" applyNumberFormat="1" applyFont="1" applyFill="1" applyBorder="1" applyAlignment="1">
      <alignment horizontal="center" vertical="center"/>
    </xf>
    <xf numFmtId="164" fontId="4" fillId="0" borderId="16" xfId="1" applyNumberFormat="1" applyFont="1" applyFill="1" applyBorder="1" applyAlignment="1">
      <alignment horizontal="center" vertical="center"/>
    </xf>
    <xf numFmtId="41" fontId="12" fillId="8" borderId="5" xfId="1" applyFont="1" applyFill="1" applyBorder="1" applyAlignment="1">
      <alignment horizontal="center" vertical="center"/>
    </xf>
    <xf numFmtId="41" fontId="4" fillId="0" borderId="6" xfId="1" applyFont="1" applyFill="1" applyBorder="1" applyAlignment="1">
      <alignment horizontal="center" vertical="center"/>
    </xf>
    <xf numFmtId="171" fontId="4" fillId="0" borderId="5" xfId="1" applyNumberFormat="1" applyFont="1" applyFill="1" applyBorder="1" applyAlignment="1">
      <alignment horizontal="center" vertical="center"/>
    </xf>
    <xf numFmtId="170" fontId="4" fillId="0" borderId="5" xfId="1" applyNumberFormat="1" applyFont="1" applyFill="1" applyBorder="1" applyAlignment="1">
      <alignment horizontal="center" vertical="center"/>
    </xf>
    <xf numFmtId="172" fontId="4" fillId="0" borderId="5" xfId="1" applyNumberFormat="1" applyFont="1" applyFill="1" applyBorder="1" applyAlignment="1">
      <alignment horizontal="center" vertical="center"/>
    </xf>
    <xf numFmtId="173" fontId="4" fillId="0" borderId="5" xfId="1" applyNumberFormat="1" applyFont="1" applyFill="1" applyBorder="1" applyAlignment="1">
      <alignment horizontal="center" vertical="center"/>
    </xf>
    <xf numFmtId="174" fontId="4" fillId="0" borderId="5" xfId="1" applyNumberFormat="1" applyFont="1" applyFill="1" applyBorder="1" applyAlignment="1">
      <alignment horizontal="center" vertical="center"/>
    </xf>
    <xf numFmtId="175" fontId="4" fillId="0" borderId="5" xfId="1" applyNumberFormat="1" applyFont="1" applyFill="1" applyBorder="1" applyAlignment="1">
      <alignment horizontal="center" vertical="center"/>
    </xf>
    <xf numFmtId="41" fontId="4" fillId="0" borderId="6" xfId="1" applyFont="1" applyFill="1" applyBorder="1" applyAlignment="1">
      <alignment horizontal="center" vertical="center"/>
    </xf>
    <xf numFmtId="41" fontId="4" fillId="0" borderId="16" xfId="1" applyFont="1" applyFill="1" applyBorder="1" applyAlignment="1">
      <alignment horizontal="center" vertical="center"/>
    </xf>
    <xf numFmtId="164" fontId="4" fillId="0" borderId="6" xfId="1" applyNumberFormat="1" applyFont="1" applyFill="1" applyBorder="1" applyAlignment="1">
      <alignment horizontal="center" vertical="center"/>
    </xf>
    <xf numFmtId="164" fontId="4" fillId="0" borderId="15" xfId="1" applyNumberFormat="1" applyFont="1" applyFill="1" applyBorder="1" applyAlignment="1">
      <alignment horizontal="center" vertical="center"/>
    </xf>
    <xf numFmtId="164" fontId="4" fillId="0" borderId="16" xfId="1" applyNumberFormat="1" applyFont="1" applyFill="1" applyBorder="1" applyAlignment="1">
      <alignment horizontal="center" vertical="center"/>
    </xf>
    <xf numFmtId="41" fontId="5" fillId="0" borderId="3" xfId="2" applyNumberFormat="1" applyFont="1" applyFill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4" fillId="6" borderId="9" xfId="0" applyFont="1" applyFill="1" applyBorder="1" applyAlignment="1">
      <alignment horizontal="center" vertical="center" wrapText="1"/>
    </xf>
    <xf numFmtId="0" fontId="14" fillId="6" borderId="18" xfId="0" applyFont="1" applyFill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14" fillId="6" borderId="20" xfId="0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0" fontId="12" fillId="0" borderId="11" xfId="6" applyFont="1" applyBorder="1" applyAlignment="1">
      <alignment horizontal="center" vertical="center"/>
    </xf>
    <xf numFmtId="0" fontId="12" fillId="0" borderId="8" xfId="6" applyFont="1" applyBorder="1" applyAlignment="1">
      <alignment horizontal="center" vertical="center"/>
    </xf>
    <xf numFmtId="0" fontId="12" fillId="0" borderId="13" xfId="6" applyFont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4" fillId="6" borderId="25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4" fillId="9" borderId="4" xfId="1" applyNumberFormat="1" applyFont="1" applyFill="1" applyBorder="1" applyAlignment="1">
      <alignment horizontal="center" vertical="center"/>
    </xf>
    <xf numFmtId="41" fontId="4" fillId="9" borderId="4" xfId="1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9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</cellXfs>
  <cellStyles count="7">
    <cellStyle name="Comma [0]" xfId="1" builtinId="6"/>
    <cellStyle name="Heading 2" xfId="2" builtinId="17"/>
    <cellStyle name="Normal" xfId="0" builtinId="0"/>
    <cellStyle name="Note" xfId="3" builtinId="10"/>
    <cellStyle name="쉼표 [0] 2" xfId="5" xr:uid="{00000000-0005-0000-0000-000002000000}"/>
    <cellStyle name="표준 2" xfId="6" xr:uid="{00000000-0005-0000-0000-000005000000}"/>
    <cellStyle name="표준_외부데이터가공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제품별 소요량과 견적 조정금액 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조정전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Quotation!$C$8:$C$13</c:f>
              <c:strCache>
                <c:ptCount val="6"/>
                <c:pt idx="0">
                  <c:v>SD50*10*2.5T</c:v>
                </c:pt>
                <c:pt idx="1">
                  <c:v>SD90*8*3.85T</c:v>
                </c:pt>
                <c:pt idx="2">
                  <c:v>SD63*7-2.1T</c:v>
                </c:pt>
                <c:pt idx="3">
                  <c:v>SD66*12-3T</c:v>
                </c:pt>
                <c:pt idx="4">
                  <c:v>SD53*12-3T</c:v>
                </c:pt>
                <c:pt idx="5">
                  <c:v>SD47*9-3T</c:v>
                </c:pt>
              </c:strCache>
            </c:strRef>
          </c:cat>
          <c:val>
            <c:numRef>
              <c:f>Quotation!$K$8:$K$13</c:f>
              <c:numCache>
                <c:formatCode>#,##0</c:formatCode>
                <c:ptCount val="6"/>
                <c:pt idx="0">
                  <c:v>50037.272727272699</c:v>
                </c:pt>
                <c:pt idx="1">
                  <c:v>324181.818181818</c:v>
                </c:pt>
                <c:pt idx="2">
                  <c:v>102727.272727273</c:v>
                </c:pt>
                <c:pt idx="3">
                  <c:v>43272.727272727301</c:v>
                </c:pt>
                <c:pt idx="4">
                  <c:v>99800</c:v>
                </c:pt>
                <c:pt idx="5">
                  <c:v>90018.181818181794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2-4FB6-9FE3-A5D10950FD98}"/>
            </c:ext>
          </c:extLst>
        </c:ser>
        <c:ser>
          <c:idx val="2"/>
          <c:order val="2"/>
          <c:tx>
            <c:v>조정후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Quotation!$C$8:$C$13</c:f>
              <c:strCache>
                <c:ptCount val="6"/>
                <c:pt idx="0">
                  <c:v>SD50*10*2.5T</c:v>
                </c:pt>
                <c:pt idx="1">
                  <c:v>SD90*8*3.85T</c:v>
                </c:pt>
                <c:pt idx="2">
                  <c:v>SD63*7-2.1T</c:v>
                </c:pt>
                <c:pt idx="3">
                  <c:v>SD66*12-3T</c:v>
                </c:pt>
                <c:pt idx="4">
                  <c:v>SD53*12-3T</c:v>
                </c:pt>
                <c:pt idx="5">
                  <c:v>SD47*9-3T</c:v>
                </c:pt>
              </c:strCache>
            </c:strRef>
          </c:cat>
          <c:val>
            <c:numRef>
              <c:f>Quotation!$L$8:$L$13</c:f>
              <c:numCache>
                <c:formatCode>#,##0</c:formatCode>
                <c:ptCount val="6"/>
                <c:pt idx="0">
                  <c:v>54087.272727272728</c:v>
                </c:pt>
                <c:pt idx="1">
                  <c:v>314181.81818181818</c:v>
                </c:pt>
                <c:pt idx="2">
                  <c:v>122727.27272727272</c:v>
                </c:pt>
                <c:pt idx="3">
                  <c:v>57272.727272727272</c:v>
                </c:pt>
                <c:pt idx="4">
                  <c:v>100800</c:v>
                </c:pt>
                <c:pt idx="5">
                  <c:v>89018.181818181809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02-4FB6-9FE3-A5D10950F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2255872"/>
        <c:axId val="192258048"/>
      </c:barChart>
      <c:lineChart>
        <c:grouping val="standard"/>
        <c:varyColors val="0"/>
        <c:ser>
          <c:idx val="0"/>
          <c:order val="0"/>
          <c:tx>
            <c:strRef>
              <c:f>Quotation!$J$6</c:f>
              <c:strCache>
                <c:ptCount val="1"/>
                <c:pt idx="0">
                  <c:v>년간 소요량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Quotation!$C$8:$C$13</c:f>
              <c:strCache>
                <c:ptCount val="6"/>
                <c:pt idx="0">
                  <c:v>SD50*10*2.5T</c:v>
                </c:pt>
                <c:pt idx="1">
                  <c:v>SD90*8*3.85T</c:v>
                </c:pt>
                <c:pt idx="2">
                  <c:v>SD63*7-2.1T</c:v>
                </c:pt>
                <c:pt idx="3">
                  <c:v>SD66*12-3T</c:v>
                </c:pt>
                <c:pt idx="4">
                  <c:v>SD53*12-3T</c:v>
                </c:pt>
                <c:pt idx="5">
                  <c:v>SD47*9-3T</c:v>
                </c:pt>
              </c:strCache>
            </c:strRef>
          </c:cat>
          <c:val>
            <c:numRef>
              <c:f>Quotation!$J$8:$J$13</c:f>
              <c:numCache>
                <c:formatCode>#,##0_ </c:formatCode>
                <c:ptCount val="6"/>
                <c:pt idx="0">
                  <c:v>444000</c:v>
                </c:pt>
                <c:pt idx="1">
                  <c:v>1920000</c:v>
                </c:pt>
                <c:pt idx="2">
                  <c:v>1080000</c:v>
                </c:pt>
                <c:pt idx="3">
                  <c:v>300000</c:v>
                </c:pt>
                <c:pt idx="4">
                  <c:v>528000</c:v>
                </c:pt>
                <c:pt idx="5">
                  <c:v>612000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02-4FB6-9FE3-A5D10950F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270336"/>
        <c:axId val="192259968"/>
      </c:lineChart>
      <c:catAx>
        <c:axId val="1922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58048"/>
        <c:crosses val="autoZero"/>
        <c:auto val="1"/>
        <c:lblAlgn val="ctr"/>
        <c:lblOffset val="100"/>
        <c:noMultiLvlLbl val="0"/>
      </c:catAx>
      <c:valAx>
        <c:axId val="19225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견적가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55872"/>
        <c:crosses val="autoZero"/>
        <c:crossBetween val="between"/>
      </c:valAx>
      <c:valAx>
        <c:axId val="192259968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b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년간 소요량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b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70336"/>
        <c:crosses val="max"/>
        <c:crossBetween val="between"/>
      </c:valAx>
      <c:catAx>
        <c:axId val="192270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259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treemap" uniqueId="{FE3ADA33-8CCB-48A4-9B0C-EBCB5576A776}" formatIdx="1">
          <cx:tx>
            <cx:txData>
              <cx:f>_xlchart.v1.4</cx:f>
              <cx:v> 인원수 </cx:v>
            </cx:txData>
          </cx:tx>
          <cx:spPr>
            <a:ln>
              <a:noFill/>
            </a:ln>
          </cx:spPr>
          <cx:dataLabels pos="ctr"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  <cx:spPr>
    <a:ln>
      <a:solidFill>
        <a:schemeClr val="bg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ln>
              <a:solidFill>
                <a:schemeClr val="bg1">
                  <a:lumMod val="65000"/>
                </a:schemeClr>
              </a:solidFill>
            </a:ln>
          </cx:spPr>
        </cx:plotSurface>
        <cx:series layoutId="sunburst" uniqueId="{23278ED3-6D67-46F8-B106-34439BD3BF6B}">
          <cx:tx>
            <cx:txData>
              <cx:f>_xlchart.v1.1</cx:f>
              <cx:v> 결과 </cx:v>
            </cx:txData>
          </cx:tx>
          <cx:dataLabels pos="ctr">
            <cx:visibility seriesName="0" categoryName="1" value="0"/>
          </cx:dataLabels>
          <cx:dataId val="0"/>
        </cx:series>
      </cx:plotAreaRegion>
    </cx:plotArea>
    <cx:legend pos="t" align="ctr" overlay="0"/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bg1"/>
    </cs:fontRef>
    <cs:defRPr sz="1000" b="1" i="0" u="none" strike="noStrike" kern="1200" spc="0" baseline="0"/>
    <cs:bodyPr lIns="38100" tIns="19050" rIns="38100" bIns="19050">
      <a:spAutoFit/>
    </cs:bodyPr>
  </cs:dataLabel>
  <cs:dataLabelCallout>
    <cs:lnRef idx="0">
      <cs:styleClr val="auto"/>
    </cs:lnRef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phClr"/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2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2"/>
    </cs:fontRef>
  </cs:dropLine>
  <cs:errorBar>
    <cs:lnRef idx="0"/>
    <cs:fillRef idx="0"/>
    <cs:effectRef idx="0"/>
    <cs:fontRef idx="minor">
      <a:schemeClr val="tx2"/>
    </cs:fontRef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</cs:hiLoLine>
  <cs:leaderLine>
    <cs:lnRef idx="0"/>
    <cs:fillRef idx="0"/>
    <cs:effectRef idx="0"/>
    <cs:fontRef idx="minor">
      <a:schemeClr val="tx2"/>
    </cs:fontRef>
  </cs:leaderLine>
  <cs:legend>
    <cs:lnRef idx="0"/>
    <cs:fillRef idx="0"/>
    <cs:effectRef idx="0"/>
    <cs:fontRef idx="minor">
      <a:schemeClr val="tx2"/>
    </cs:fontRef>
    <cs:defRPr sz="900" kern="1200"/>
    <cs:bodyPr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 kern="1200"/>
    <cs:bodyPr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238126</xdr:colOff>
      <xdr:row>8</xdr:row>
      <xdr:rowOff>223838</xdr:rowOff>
    </xdr:from>
    <xdr:to>
      <xdr:col>15</xdr:col>
      <xdr:colOff>217715</xdr:colOff>
      <xdr:row>17</xdr:row>
      <xdr:rowOff>136072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1" hidden="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86304" y="2115943"/>
              <a:ext cx="3806002" cy="21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204107</xdr:colOff>
      <xdr:row>19</xdr:row>
      <xdr:rowOff>23133</xdr:rowOff>
    </xdr:from>
    <xdr:to>
      <xdr:col>15</xdr:col>
      <xdr:colOff>204107</xdr:colOff>
      <xdr:row>33</xdr:row>
      <xdr:rowOff>136073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2" hidden="1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2285" y="4700641"/>
              <a:ext cx="3826413" cy="3657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119060</xdr:colOff>
      <xdr:row>14</xdr:row>
      <xdr:rowOff>100012</xdr:rowOff>
    </xdr:from>
    <xdr:to>
      <xdr:col>12</xdr:col>
      <xdr:colOff>0</xdr:colOff>
      <xdr:row>29</xdr:row>
      <xdr:rowOff>133350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T54"/>
  <sheetViews>
    <sheetView showGridLines="0" zoomScale="90" zoomScaleNormal="90" workbookViewId="0">
      <selection activeCell="H36" sqref="H36"/>
    </sheetView>
  </sheetViews>
  <sheetFormatPr defaultColWidth="9.09765625" defaultRowHeight="14.4"/>
  <cols>
    <col min="1" max="1" width="2.59765625" style="2" customWidth="1"/>
    <col min="2" max="2" width="9.19921875" style="2" customWidth="1"/>
    <col min="3" max="3" width="9.09765625" style="2" customWidth="1"/>
    <col min="4" max="4" width="8.8984375" style="2" customWidth="1"/>
    <col min="5" max="6" width="11.59765625" style="5" customWidth="1"/>
    <col min="7" max="7" width="11.59765625" style="2" customWidth="1"/>
    <col min="8" max="8" width="10.69921875" style="2" bestFit="1" customWidth="1"/>
    <col min="9" max="9" width="4.59765625" style="2" customWidth="1"/>
    <col min="10" max="10" width="0.3984375" style="2" customWidth="1"/>
    <col min="11" max="11" width="4.19921875" style="2" customWidth="1"/>
    <col min="12" max="12" width="17.09765625" style="2" customWidth="1"/>
    <col min="13" max="13" width="12.69921875" style="2" customWidth="1"/>
    <col min="14" max="15" width="10.19921875" style="2" customWidth="1"/>
    <col min="16" max="16" width="14.59765625" style="2" customWidth="1"/>
    <col min="17" max="16384" width="9.09765625" style="4"/>
  </cols>
  <sheetData>
    <row r="2" spans="2:16" ht="21.6" thickBot="1">
      <c r="B2" s="89" t="s">
        <v>0</v>
      </c>
      <c r="C2" s="89"/>
      <c r="D2" s="89"/>
      <c r="E2" s="89"/>
      <c r="F2" s="89"/>
      <c r="G2" s="89"/>
      <c r="H2" s="89"/>
      <c r="K2" s="3"/>
    </row>
    <row r="3" spans="2:16" ht="14.95" thickTop="1"/>
    <row r="4" spans="2:16" ht="18.7" customHeight="1">
      <c r="B4" s="6" t="s">
        <v>1</v>
      </c>
      <c r="C4" s="6" t="s">
        <v>268</v>
      </c>
      <c r="D4" s="6" t="s">
        <v>2</v>
      </c>
      <c r="E4" s="6" t="s">
        <v>3</v>
      </c>
      <c r="F4" s="7" t="s">
        <v>4</v>
      </c>
      <c r="G4" s="6" t="s">
        <v>5</v>
      </c>
      <c r="H4" s="6" t="s">
        <v>6</v>
      </c>
      <c r="K4" s="8"/>
      <c r="L4" s="9" t="s">
        <v>7</v>
      </c>
      <c r="O4" s="9" t="s">
        <v>26</v>
      </c>
    </row>
    <row r="5" spans="2:16" ht="20.25" customHeight="1">
      <c r="B5" s="10" t="s">
        <v>8</v>
      </c>
      <c r="C5" s="10" t="s">
        <v>289</v>
      </c>
      <c r="D5" s="10" t="s">
        <v>9</v>
      </c>
      <c r="E5" s="11">
        <v>67</v>
      </c>
      <c r="F5" s="11" t="s">
        <v>10</v>
      </c>
      <c r="G5" s="12" t="s">
        <v>11</v>
      </c>
      <c r="H5" s="12" t="str">
        <f>IF(AND(E5&gt;=80,OR(F5="상",F5="중"),G5="A"),"진급","")</f>
        <v/>
      </c>
      <c r="K5" s="8"/>
      <c r="L5" s="36" t="s">
        <v>309</v>
      </c>
      <c r="M5" s="35" t="s">
        <v>310</v>
      </c>
      <c r="O5" s="33" t="s">
        <v>2</v>
      </c>
      <c r="P5" s="34" t="s">
        <v>28</v>
      </c>
    </row>
    <row r="6" spans="2:16" ht="20.25" customHeight="1">
      <c r="B6" s="10" t="s">
        <v>13</v>
      </c>
      <c r="C6" s="10" t="s">
        <v>290</v>
      </c>
      <c r="D6" s="10" t="s">
        <v>9</v>
      </c>
      <c r="E6" s="11">
        <v>81</v>
      </c>
      <c r="F6" s="11" t="s">
        <v>14</v>
      </c>
      <c r="G6" s="12" t="s">
        <v>15</v>
      </c>
      <c r="H6" s="12" t="str">
        <f t="shared" ref="H6:H23" si="0">IF(AND(E6&gt;=80,OR(F6="상",F6="중"),G6="A"),"진급","")</f>
        <v>진급</v>
      </c>
      <c r="K6" s="8"/>
      <c r="L6" s="13" t="s">
        <v>12</v>
      </c>
      <c r="M6" s="13">
        <f>COUNTA(B5:B42)</f>
        <v>38</v>
      </c>
      <c r="O6" s="32" t="s">
        <v>18</v>
      </c>
      <c r="P6" s="13">
        <f>COUNTIF($D$5:$D$42,O6)</f>
        <v>24</v>
      </c>
    </row>
    <row r="7" spans="2:16" ht="20.25" customHeight="1">
      <c r="B7" s="10" t="s">
        <v>17</v>
      </c>
      <c r="C7" s="10" t="s">
        <v>291</v>
      </c>
      <c r="D7" s="10" t="s">
        <v>18</v>
      </c>
      <c r="E7" s="14" t="s">
        <v>19</v>
      </c>
      <c r="F7" s="11" t="s">
        <v>14</v>
      </c>
      <c r="G7" s="12" t="s">
        <v>20</v>
      </c>
      <c r="H7" s="12" t="str">
        <f t="shared" si="0"/>
        <v/>
      </c>
      <c r="L7" s="13" t="s">
        <v>16</v>
      </c>
      <c r="M7" s="13">
        <f>COUNT(E5:E42)</f>
        <v>32</v>
      </c>
      <c r="O7" s="32" t="s">
        <v>9</v>
      </c>
      <c r="P7" s="13">
        <f>COUNTIF($D$5:$D$42,O7)</f>
        <v>14</v>
      </c>
    </row>
    <row r="8" spans="2:16" ht="20.25" customHeight="1">
      <c r="B8" s="10" t="s">
        <v>21</v>
      </c>
      <c r="C8" s="10" t="s">
        <v>292</v>
      </c>
      <c r="D8" s="10" t="s">
        <v>9</v>
      </c>
      <c r="E8" s="11">
        <v>80</v>
      </c>
      <c r="F8" s="11" t="s">
        <v>10</v>
      </c>
      <c r="G8" s="12" t="s">
        <v>11</v>
      </c>
      <c r="H8" s="12" t="str">
        <f t="shared" si="0"/>
        <v/>
      </c>
    </row>
    <row r="9" spans="2:16" ht="20.25" customHeight="1">
      <c r="B9" s="10" t="s">
        <v>22</v>
      </c>
      <c r="C9" s="10" t="s">
        <v>293</v>
      </c>
      <c r="D9" s="10" t="s">
        <v>18</v>
      </c>
      <c r="E9" s="11">
        <v>80</v>
      </c>
      <c r="F9" s="11" t="s">
        <v>14</v>
      </c>
      <c r="G9" s="12" t="s">
        <v>23</v>
      </c>
      <c r="H9" s="12" t="str">
        <f t="shared" si="0"/>
        <v/>
      </c>
      <c r="L9" s="9" t="s">
        <v>295</v>
      </c>
    </row>
    <row r="10" spans="2:16" ht="20.25" customHeight="1">
      <c r="B10" s="10" t="s">
        <v>24</v>
      </c>
      <c r="C10" s="10" t="s">
        <v>294</v>
      </c>
      <c r="D10" s="10" t="s">
        <v>18</v>
      </c>
      <c r="E10" s="11">
        <v>79</v>
      </c>
      <c r="F10" s="11" t="s">
        <v>25</v>
      </c>
      <c r="G10" s="12" t="s">
        <v>20</v>
      </c>
      <c r="H10" s="12" t="str">
        <f t="shared" si="0"/>
        <v/>
      </c>
    </row>
    <row r="11" spans="2:16" ht="20.25" customHeight="1">
      <c r="B11" s="10" t="s">
        <v>27</v>
      </c>
      <c r="C11" s="10" t="s">
        <v>289</v>
      </c>
      <c r="D11" s="10" t="s">
        <v>9</v>
      </c>
      <c r="E11" s="11">
        <v>91</v>
      </c>
      <c r="F11" s="11" t="s">
        <v>10</v>
      </c>
      <c r="G11" s="12" t="s">
        <v>20</v>
      </c>
      <c r="H11" s="12" t="str">
        <f t="shared" si="0"/>
        <v/>
      </c>
      <c r="L11" s="32" t="s">
        <v>42</v>
      </c>
      <c r="M11" s="77" t="s">
        <v>43</v>
      </c>
    </row>
    <row r="12" spans="2:16" ht="20.25" customHeight="1">
      <c r="B12" s="10" t="s">
        <v>29</v>
      </c>
      <c r="C12" s="10" t="s">
        <v>290</v>
      </c>
      <c r="D12" s="10" t="s">
        <v>18</v>
      </c>
      <c r="E12" s="11">
        <v>84</v>
      </c>
      <c r="F12" s="11" t="s">
        <v>14</v>
      </c>
      <c r="G12" s="12" t="s">
        <v>11</v>
      </c>
      <c r="H12" s="12" t="str">
        <f t="shared" si="0"/>
        <v/>
      </c>
      <c r="L12" s="78">
        <v>50</v>
      </c>
      <c r="M12" s="13">
        <f t="array" ref="M12:M17">FREQUENCY($E$5:$E$23,L12:L17)</f>
        <v>1</v>
      </c>
    </row>
    <row r="13" spans="2:16" ht="20.25" customHeight="1">
      <c r="B13" s="10" t="s">
        <v>30</v>
      </c>
      <c r="C13" s="10" t="s">
        <v>291</v>
      </c>
      <c r="D13" s="10" t="s">
        <v>18</v>
      </c>
      <c r="E13" s="11" t="s">
        <v>19</v>
      </c>
      <c r="F13" s="11" t="s">
        <v>10</v>
      </c>
      <c r="G13" s="12" t="s">
        <v>23</v>
      </c>
      <c r="H13" s="12" t="str">
        <f t="shared" si="0"/>
        <v/>
      </c>
      <c r="L13" s="79">
        <v>60</v>
      </c>
      <c r="M13" s="13">
        <v>1</v>
      </c>
    </row>
    <row r="14" spans="2:16" ht="20.25" customHeight="1">
      <c r="B14" s="10" t="s">
        <v>31</v>
      </c>
      <c r="C14" s="10" t="s">
        <v>292</v>
      </c>
      <c r="D14" s="10" t="s">
        <v>9</v>
      </c>
      <c r="E14" s="11">
        <v>88</v>
      </c>
      <c r="F14" s="11" t="s">
        <v>14</v>
      </c>
      <c r="G14" s="12" t="s">
        <v>15</v>
      </c>
      <c r="H14" s="12" t="str">
        <f t="shared" si="0"/>
        <v>진급</v>
      </c>
      <c r="L14" s="80">
        <v>70</v>
      </c>
      <c r="M14" s="13">
        <v>2</v>
      </c>
    </row>
    <row r="15" spans="2:16" ht="20.25" customHeight="1">
      <c r="B15" s="10" t="s">
        <v>32</v>
      </c>
      <c r="C15" s="10" t="s">
        <v>293</v>
      </c>
      <c r="D15" s="10" t="s">
        <v>18</v>
      </c>
      <c r="E15" s="11">
        <v>56</v>
      </c>
      <c r="F15" s="11" t="s">
        <v>25</v>
      </c>
      <c r="G15" s="12" t="s">
        <v>15</v>
      </c>
      <c r="H15" s="12" t="str">
        <f t="shared" si="0"/>
        <v/>
      </c>
      <c r="L15" s="81">
        <v>80</v>
      </c>
      <c r="M15" s="13">
        <v>4</v>
      </c>
    </row>
    <row r="16" spans="2:16" ht="20.25" customHeight="1">
      <c r="B16" s="10" t="s">
        <v>33</v>
      </c>
      <c r="C16" s="10" t="s">
        <v>294</v>
      </c>
      <c r="D16" s="10" t="s">
        <v>18</v>
      </c>
      <c r="E16" s="11">
        <v>90</v>
      </c>
      <c r="F16" s="11" t="s">
        <v>25</v>
      </c>
      <c r="G16" s="12" t="s">
        <v>11</v>
      </c>
      <c r="H16" s="12" t="str">
        <f t="shared" si="0"/>
        <v/>
      </c>
      <c r="L16" s="82">
        <v>90</v>
      </c>
      <c r="M16" s="13">
        <v>6</v>
      </c>
      <c r="N16" s="1"/>
      <c r="O16" s="1"/>
    </row>
    <row r="17" spans="2:20" ht="20.25" customHeight="1">
      <c r="B17" s="10" t="s">
        <v>34</v>
      </c>
      <c r="C17" s="10" t="s">
        <v>289</v>
      </c>
      <c r="D17" s="10" t="s">
        <v>18</v>
      </c>
      <c r="E17" s="11">
        <v>68</v>
      </c>
      <c r="F17" s="11" t="s">
        <v>14</v>
      </c>
      <c r="G17" s="12" t="s">
        <v>23</v>
      </c>
      <c r="H17" s="12" t="str">
        <f t="shared" si="0"/>
        <v/>
      </c>
      <c r="L17" s="83">
        <v>100</v>
      </c>
      <c r="M17" s="13">
        <v>2</v>
      </c>
      <c r="N17" s="1"/>
      <c r="O17" s="1"/>
    </row>
    <row r="18" spans="2:20" ht="20.25" customHeight="1">
      <c r="B18" s="10" t="s">
        <v>35</v>
      </c>
      <c r="C18" s="10" t="s">
        <v>290</v>
      </c>
      <c r="D18" s="10" t="s">
        <v>18</v>
      </c>
      <c r="E18" s="11" t="s">
        <v>19</v>
      </c>
      <c r="F18" s="11" t="s">
        <v>10</v>
      </c>
      <c r="G18" s="12" t="s">
        <v>36</v>
      </c>
      <c r="H18" s="12" t="str">
        <f t="shared" si="0"/>
        <v>진급</v>
      </c>
      <c r="N18" s="1"/>
      <c r="O18" s="1"/>
    </row>
    <row r="19" spans="2:20" ht="20.25" customHeight="1">
      <c r="B19" s="10" t="s">
        <v>37</v>
      </c>
      <c r="C19" s="10" t="s">
        <v>291</v>
      </c>
      <c r="D19" s="10" t="s">
        <v>18</v>
      </c>
      <c r="E19" s="11">
        <v>85</v>
      </c>
      <c r="F19" s="11" t="s">
        <v>14</v>
      </c>
      <c r="G19" s="12" t="s">
        <v>15</v>
      </c>
      <c r="H19" s="12" t="str">
        <f t="shared" si="0"/>
        <v>진급</v>
      </c>
      <c r="L19" s="9" t="s">
        <v>308</v>
      </c>
      <c r="N19" s="1"/>
      <c r="O19" s="1"/>
    </row>
    <row r="20" spans="2:20" ht="20.25" customHeight="1">
      <c r="B20" s="10" t="s">
        <v>38</v>
      </c>
      <c r="C20" s="10" t="s">
        <v>292</v>
      </c>
      <c r="D20" s="10" t="s">
        <v>9</v>
      </c>
      <c r="E20" s="11">
        <v>79</v>
      </c>
      <c r="F20" s="11" t="s">
        <v>25</v>
      </c>
      <c r="G20" s="12" t="s">
        <v>15</v>
      </c>
      <c r="H20" s="12" t="str">
        <f t="shared" si="0"/>
        <v/>
      </c>
      <c r="N20" s="1"/>
      <c r="O20" s="1"/>
    </row>
    <row r="21" spans="2:20" ht="20.25" customHeight="1">
      <c r="B21" s="10" t="s">
        <v>39</v>
      </c>
      <c r="C21" s="10" t="s">
        <v>293</v>
      </c>
      <c r="D21" s="10" t="s">
        <v>18</v>
      </c>
      <c r="E21" s="11">
        <v>45</v>
      </c>
      <c r="F21" s="11" t="s">
        <v>10</v>
      </c>
      <c r="G21" s="12" t="s">
        <v>23</v>
      </c>
      <c r="H21" s="12" t="str">
        <f t="shared" si="0"/>
        <v/>
      </c>
      <c r="L21" s="76" t="s">
        <v>296</v>
      </c>
      <c r="M21" s="76" t="s">
        <v>305</v>
      </c>
      <c r="N21" s="76" t="s">
        <v>306</v>
      </c>
      <c r="O21" s="76" t="s">
        <v>307</v>
      </c>
    </row>
    <row r="22" spans="2:20" ht="20.25" customHeight="1">
      <c r="B22" s="10" t="s">
        <v>40</v>
      </c>
      <c r="C22" s="10" t="s">
        <v>294</v>
      </c>
      <c r="D22" s="10" t="s">
        <v>18</v>
      </c>
      <c r="E22" s="11">
        <v>91</v>
      </c>
      <c r="F22" s="11" t="s">
        <v>14</v>
      </c>
      <c r="G22" s="12" t="s">
        <v>36</v>
      </c>
      <c r="H22" s="12" t="str">
        <f t="shared" si="0"/>
        <v>진급</v>
      </c>
      <c r="L22" s="73" t="s">
        <v>297</v>
      </c>
      <c r="M22" s="84" t="s">
        <v>299</v>
      </c>
      <c r="N22" s="32" t="s">
        <v>61</v>
      </c>
      <c r="O22" s="32">
        <f>COUNTIFS($H$5:$H$42,"진급",$D$5:$D$42,N22)</f>
        <v>8</v>
      </c>
    </row>
    <row r="23" spans="2:20" ht="20.25" customHeight="1">
      <c r="B23" s="10" t="s">
        <v>41</v>
      </c>
      <c r="C23" s="10" t="s">
        <v>289</v>
      </c>
      <c r="D23" s="10" t="s">
        <v>9</v>
      </c>
      <c r="E23" s="11">
        <v>86</v>
      </c>
      <c r="F23" s="11" t="s">
        <v>25</v>
      </c>
      <c r="G23" s="12" t="s">
        <v>11</v>
      </c>
      <c r="H23" s="12" t="str">
        <f t="shared" si="0"/>
        <v/>
      </c>
      <c r="L23" s="74"/>
      <c r="M23" s="85"/>
      <c r="N23" s="32" t="s">
        <v>56</v>
      </c>
      <c r="O23" s="32">
        <f>COUNTIFS($H$5:$H$42,"진급",$D$5:$D$42,N23)</f>
        <v>4</v>
      </c>
    </row>
    <row r="24" spans="2:20" ht="20.25" customHeight="1">
      <c r="B24" s="10" t="s">
        <v>270</v>
      </c>
      <c r="C24" s="10" t="s">
        <v>290</v>
      </c>
      <c r="D24" s="10" t="s">
        <v>9</v>
      </c>
      <c r="E24" s="11">
        <v>67</v>
      </c>
      <c r="F24" s="11" t="s">
        <v>10</v>
      </c>
      <c r="G24" s="12" t="s">
        <v>11</v>
      </c>
      <c r="H24" s="12" t="str">
        <f>IF(AND(E24&gt;=80,OR(F24="상",F24="중"),G24="A"),"진급","")</f>
        <v/>
      </c>
      <c r="L24" s="74"/>
      <c r="M24" s="84" t="s">
        <v>298</v>
      </c>
      <c r="N24" s="32" t="s">
        <v>61</v>
      </c>
      <c r="O24" s="32">
        <f>COUNTIFS($H$5:$H$42,"",$D$5:$D$42,N24)</f>
        <v>16</v>
      </c>
      <c r="T24"/>
    </row>
    <row r="25" spans="2:20" ht="20.25" customHeight="1">
      <c r="B25" s="10" t="s">
        <v>271</v>
      </c>
      <c r="C25" s="10" t="s">
        <v>291</v>
      </c>
      <c r="D25" s="10" t="s">
        <v>9</v>
      </c>
      <c r="E25" s="11">
        <v>81</v>
      </c>
      <c r="F25" s="11" t="s">
        <v>14</v>
      </c>
      <c r="G25" s="12" t="s">
        <v>15</v>
      </c>
      <c r="H25" s="12" t="str">
        <f t="shared" ref="H25:H42" si="1">IF(AND(E25&gt;=80,OR(F25="상",F25="중"),G25="A"),"진급","")</f>
        <v>진급</v>
      </c>
      <c r="L25" s="75"/>
      <c r="M25" s="85"/>
      <c r="N25" s="32" t="s">
        <v>56</v>
      </c>
      <c r="O25" s="32">
        <f>COUNTIFS($H$5:$H$42,"",$D$5:$D$42,N25)</f>
        <v>10</v>
      </c>
      <c r="T25"/>
    </row>
    <row r="26" spans="2:20" ht="20.25" customHeight="1">
      <c r="B26" s="10" t="s">
        <v>272</v>
      </c>
      <c r="C26" s="10" t="s">
        <v>292</v>
      </c>
      <c r="D26" s="10" t="s">
        <v>18</v>
      </c>
      <c r="E26" s="14" t="s">
        <v>19</v>
      </c>
      <c r="F26" s="11" t="s">
        <v>14</v>
      </c>
      <c r="G26" s="12" t="s">
        <v>20</v>
      </c>
      <c r="H26" s="12" t="str">
        <f t="shared" si="1"/>
        <v/>
      </c>
      <c r="L26" s="73" t="s">
        <v>300</v>
      </c>
      <c r="M26" s="32" t="s">
        <v>269</v>
      </c>
      <c r="N26" s="32"/>
      <c r="O26" s="32">
        <f>COUNTIF($F$5:$F$42,M26)</f>
        <v>14</v>
      </c>
      <c r="T26"/>
    </row>
    <row r="27" spans="2:20" ht="20.25" customHeight="1">
      <c r="B27" s="10" t="s">
        <v>273</v>
      </c>
      <c r="C27" s="10" t="s">
        <v>293</v>
      </c>
      <c r="D27" s="10" t="s">
        <v>9</v>
      </c>
      <c r="E27" s="11">
        <v>80</v>
      </c>
      <c r="F27" s="11" t="s">
        <v>10</v>
      </c>
      <c r="G27" s="12" t="s">
        <v>11</v>
      </c>
      <c r="H27" s="12" t="str">
        <f t="shared" si="1"/>
        <v/>
      </c>
      <c r="L27" s="74"/>
      <c r="M27" s="32" t="s">
        <v>301</v>
      </c>
      <c r="N27" s="32"/>
      <c r="O27" s="32">
        <f t="shared" ref="O27:O28" si="2">COUNTIF($F$5:$F$42,M27)</f>
        <v>16</v>
      </c>
      <c r="T27"/>
    </row>
    <row r="28" spans="2:20" ht="20.25" customHeight="1">
      <c r="B28" s="10" t="s">
        <v>274</v>
      </c>
      <c r="C28" s="10" t="s">
        <v>294</v>
      </c>
      <c r="D28" s="10" t="s">
        <v>18</v>
      </c>
      <c r="E28" s="11">
        <v>80</v>
      </c>
      <c r="F28" s="11" t="s">
        <v>14</v>
      </c>
      <c r="G28" s="12" t="s">
        <v>23</v>
      </c>
      <c r="H28" s="12" t="str">
        <f t="shared" si="1"/>
        <v/>
      </c>
      <c r="L28" s="75"/>
      <c r="M28" s="32" t="s">
        <v>302</v>
      </c>
      <c r="N28" s="32"/>
      <c r="O28" s="32">
        <f t="shared" si="2"/>
        <v>8</v>
      </c>
      <c r="T28"/>
    </row>
    <row r="29" spans="2:20" ht="20.25" customHeight="1">
      <c r="B29" s="10" t="s">
        <v>275</v>
      </c>
      <c r="C29" s="10" t="s">
        <v>289</v>
      </c>
      <c r="D29" s="10" t="s">
        <v>18</v>
      </c>
      <c r="E29" s="11">
        <v>90</v>
      </c>
      <c r="F29" s="11" t="s">
        <v>269</v>
      </c>
      <c r="G29" s="12" t="s">
        <v>15</v>
      </c>
      <c r="H29" s="12" t="str">
        <f t="shared" si="1"/>
        <v>진급</v>
      </c>
      <c r="L29" s="86" t="s">
        <v>303</v>
      </c>
      <c r="M29" s="32" t="s">
        <v>15</v>
      </c>
      <c r="N29" s="32"/>
      <c r="O29" s="32">
        <f>COUNTIF($G$5:$G$42,M29)</f>
        <v>15</v>
      </c>
      <c r="T29"/>
    </row>
    <row r="30" spans="2:20" ht="20.25" customHeight="1">
      <c r="B30" s="10" t="s">
        <v>276</v>
      </c>
      <c r="C30" s="10" t="s">
        <v>290</v>
      </c>
      <c r="D30" s="10" t="s">
        <v>9</v>
      </c>
      <c r="E30" s="11">
        <v>91</v>
      </c>
      <c r="F30" s="11" t="s">
        <v>10</v>
      </c>
      <c r="G30" s="12" t="s">
        <v>20</v>
      </c>
      <c r="H30" s="12" t="str">
        <f t="shared" si="1"/>
        <v/>
      </c>
      <c r="L30" s="87"/>
      <c r="M30" s="32" t="s">
        <v>11</v>
      </c>
      <c r="N30" s="32"/>
      <c r="O30" s="32">
        <f>COUNTIF($G$5:$G$42,M30)</f>
        <v>10</v>
      </c>
      <c r="T30"/>
    </row>
    <row r="31" spans="2:20" ht="20.25" customHeight="1">
      <c r="B31" s="10" t="s">
        <v>277</v>
      </c>
      <c r="C31" s="10" t="s">
        <v>291</v>
      </c>
      <c r="D31" s="10" t="s">
        <v>18</v>
      </c>
      <c r="E31" s="11">
        <v>100</v>
      </c>
      <c r="F31" s="11" t="s">
        <v>14</v>
      </c>
      <c r="G31" s="12" t="s">
        <v>11</v>
      </c>
      <c r="H31" s="12" t="str">
        <f t="shared" si="1"/>
        <v/>
      </c>
      <c r="L31" s="88"/>
      <c r="M31" s="32" t="s">
        <v>304</v>
      </c>
      <c r="N31" s="32"/>
      <c r="O31" s="32">
        <f>COUNTA(G5:G42)-N29-N30</f>
        <v>38</v>
      </c>
      <c r="T31"/>
    </row>
    <row r="32" spans="2:20" ht="20.25" customHeight="1">
      <c r="B32" s="10" t="s">
        <v>278</v>
      </c>
      <c r="C32" s="10" t="s">
        <v>292</v>
      </c>
      <c r="D32" s="10" t="s">
        <v>18</v>
      </c>
      <c r="E32" s="11" t="s">
        <v>19</v>
      </c>
      <c r="F32" s="11" t="s">
        <v>10</v>
      </c>
      <c r="G32" s="12" t="s">
        <v>23</v>
      </c>
      <c r="H32" s="12" t="str">
        <f t="shared" si="1"/>
        <v/>
      </c>
      <c r="T32"/>
    </row>
    <row r="33" spans="2:20" ht="20.25" customHeight="1">
      <c r="B33" s="10" t="s">
        <v>279</v>
      </c>
      <c r="C33" s="10" t="s">
        <v>293</v>
      </c>
      <c r="D33" s="10" t="s">
        <v>9</v>
      </c>
      <c r="E33" s="11">
        <v>88</v>
      </c>
      <c r="F33" s="11" t="s">
        <v>14</v>
      </c>
      <c r="G33" s="12" t="s">
        <v>15</v>
      </c>
      <c r="H33" s="12" t="str">
        <f t="shared" si="1"/>
        <v>진급</v>
      </c>
      <c r="T33"/>
    </row>
    <row r="34" spans="2:20" ht="20.25" customHeight="1">
      <c r="B34" s="10" t="s">
        <v>280</v>
      </c>
      <c r="C34" s="10" t="s">
        <v>294</v>
      </c>
      <c r="D34" s="10" t="s">
        <v>18</v>
      </c>
      <c r="E34" s="11">
        <v>100</v>
      </c>
      <c r="F34" s="11" t="s">
        <v>269</v>
      </c>
      <c r="G34" s="12" t="s">
        <v>15</v>
      </c>
      <c r="H34" s="12" t="str">
        <f t="shared" si="1"/>
        <v>진급</v>
      </c>
      <c r="T34"/>
    </row>
    <row r="35" spans="2:20" ht="20.25" customHeight="1">
      <c r="B35" s="10" t="s">
        <v>281</v>
      </c>
      <c r="C35" s="10" t="s">
        <v>290</v>
      </c>
      <c r="D35" s="10" t="s">
        <v>18</v>
      </c>
      <c r="E35" s="11">
        <v>90</v>
      </c>
      <c r="F35" s="11" t="s">
        <v>25</v>
      </c>
      <c r="G35" s="12" t="s">
        <v>11</v>
      </c>
      <c r="H35" s="12" t="str">
        <f t="shared" si="1"/>
        <v/>
      </c>
      <c r="T35"/>
    </row>
    <row r="36" spans="2:20" ht="20.25" customHeight="1">
      <c r="B36" s="10" t="s">
        <v>282</v>
      </c>
      <c r="C36" s="10" t="s">
        <v>291</v>
      </c>
      <c r="D36" s="10" t="s">
        <v>18</v>
      </c>
      <c r="E36" s="111">
        <v>68</v>
      </c>
      <c r="F36" s="111" t="s">
        <v>14</v>
      </c>
      <c r="G36" s="112" t="s">
        <v>23</v>
      </c>
      <c r="H36" s="12" t="str">
        <f t="shared" si="1"/>
        <v/>
      </c>
      <c r="T36"/>
    </row>
    <row r="37" spans="2:20" ht="20.25" customHeight="1">
      <c r="B37" s="10" t="s">
        <v>283</v>
      </c>
      <c r="C37" s="10" t="s">
        <v>292</v>
      </c>
      <c r="D37" s="10" t="s">
        <v>18</v>
      </c>
      <c r="E37" s="11" t="s">
        <v>19</v>
      </c>
      <c r="F37" s="11" t="s">
        <v>10</v>
      </c>
      <c r="G37" s="12" t="s">
        <v>36</v>
      </c>
      <c r="H37" s="12" t="str">
        <f t="shared" si="1"/>
        <v>진급</v>
      </c>
      <c r="T37"/>
    </row>
    <row r="38" spans="2:20" ht="20.25" customHeight="1">
      <c r="B38" s="10" t="s">
        <v>284</v>
      </c>
      <c r="C38" s="10" t="s">
        <v>293</v>
      </c>
      <c r="D38" s="10" t="s">
        <v>18</v>
      </c>
      <c r="E38" s="11">
        <v>85</v>
      </c>
      <c r="F38" s="11" t="s">
        <v>14</v>
      </c>
      <c r="G38" s="12" t="s">
        <v>15</v>
      </c>
      <c r="H38" s="12" t="str">
        <f t="shared" si="1"/>
        <v>진급</v>
      </c>
      <c r="T38"/>
    </row>
    <row r="39" spans="2:20" ht="20.25" customHeight="1">
      <c r="B39" s="10" t="s">
        <v>285</v>
      </c>
      <c r="C39" s="10" t="s">
        <v>294</v>
      </c>
      <c r="D39" s="10" t="s">
        <v>9</v>
      </c>
      <c r="E39" s="11">
        <v>79</v>
      </c>
      <c r="F39" s="11" t="s">
        <v>25</v>
      </c>
      <c r="G39" s="12" t="s">
        <v>15</v>
      </c>
      <c r="H39" s="12" t="str">
        <f t="shared" si="1"/>
        <v/>
      </c>
      <c r="T39"/>
    </row>
    <row r="40" spans="2:20" ht="20.25" customHeight="1">
      <c r="B40" s="10" t="s">
        <v>286</v>
      </c>
      <c r="C40" s="10" t="s">
        <v>289</v>
      </c>
      <c r="D40" s="10" t="s">
        <v>18</v>
      </c>
      <c r="E40" s="11">
        <v>70</v>
      </c>
      <c r="F40" s="11" t="s">
        <v>10</v>
      </c>
      <c r="G40" s="12" t="s">
        <v>23</v>
      </c>
      <c r="H40" s="12" t="str">
        <f t="shared" si="1"/>
        <v/>
      </c>
      <c r="T40"/>
    </row>
    <row r="41" spans="2:20" ht="20.25" customHeight="1">
      <c r="B41" s="10" t="s">
        <v>287</v>
      </c>
      <c r="C41" s="10" t="s">
        <v>290</v>
      </c>
      <c r="D41" s="10" t="s">
        <v>18</v>
      </c>
      <c r="E41" s="11">
        <v>91</v>
      </c>
      <c r="F41" s="11" t="s">
        <v>14</v>
      </c>
      <c r="G41" s="12" t="s">
        <v>36</v>
      </c>
      <c r="H41" s="12" t="str">
        <f t="shared" si="1"/>
        <v>진급</v>
      </c>
      <c r="T41"/>
    </row>
    <row r="42" spans="2:20" ht="20.25" customHeight="1">
      <c r="B42" s="10" t="s">
        <v>288</v>
      </c>
      <c r="C42" s="10" t="s">
        <v>291</v>
      </c>
      <c r="D42" s="10" t="s">
        <v>9</v>
      </c>
      <c r="E42" s="11">
        <v>86</v>
      </c>
      <c r="F42" s="11" t="s">
        <v>25</v>
      </c>
      <c r="G42" s="12" t="s">
        <v>11</v>
      </c>
      <c r="H42" s="12" t="str">
        <f t="shared" si="1"/>
        <v/>
      </c>
      <c r="T42"/>
    </row>
    <row r="43" spans="2:20">
      <c r="T43" s="1"/>
    </row>
    <row r="44" spans="2:20">
      <c r="T44"/>
    </row>
    <row r="45" spans="2:20">
      <c r="T45"/>
    </row>
    <row r="46" spans="2:20">
      <c r="T46"/>
    </row>
    <row r="47" spans="2:20">
      <c r="T47"/>
    </row>
    <row r="48" spans="2:20">
      <c r="T48"/>
    </row>
    <row r="49" spans="20:20">
      <c r="T49"/>
    </row>
    <row r="50" spans="20:20">
      <c r="T50"/>
    </row>
    <row r="51" spans="20:20">
      <c r="T51"/>
    </row>
    <row r="52" spans="20:20">
      <c r="T52"/>
    </row>
    <row r="53" spans="20:20">
      <c r="T53"/>
    </row>
    <row r="54" spans="20:20">
      <c r="T54"/>
    </row>
  </sheetData>
  <mergeCells count="4">
    <mergeCell ref="M24:M25"/>
    <mergeCell ref="M22:M23"/>
    <mergeCell ref="L29:L31"/>
    <mergeCell ref="B2:H2"/>
  </mergeCells>
  <phoneticPr fontId="2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workbookViewId="0">
      <selection activeCell="B4" sqref="B4"/>
    </sheetView>
  </sheetViews>
  <sheetFormatPr defaultColWidth="9.09765625" defaultRowHeight="14.4"/>
  <cols>
    <col min="1" max="1" width="16.09765625" style="15" bestFit="1" customWidth="1"/>
    <col min="2" max="2" width="24.8984375" style="16" bestFit="1" customWidth="1"/>
    <col min="3" max="3" width="11.69921875" style="17" bestFit="1" customWidth="1"/>
    <col min="4" max="4" width="9.69921875" style="18" bestFit="1" customWidth="1"/>
    <col min="5" max="5" width="14.09765625" style="19" bestFit="1" customWidth="1"/>
    <col min="6" max="6" width="7.19921875" style="17" bestFit="1" customWidth="1"/>
    <col min="7" max="7" width="27.59765625" style="20" customWidth="1"/>
    <col min="8" max="8" width="5.69921875" style="17" bestFit="1" customWidth="1"/>
    <col min="9" max="16384" width="9.09765625" style="1"/>
  </cols>
  <sheetData>
    <row r="1" spans="1:8">
      <c r="A1" s="21" t="s">
        <v>44</v>
      </c>
      <c r="B1" s="22" t="s">
        <v>45</v>
      </c>
      <c r="C1" s="22" t="s">
        <v>46</v>
      </c>
      <c r="D1" s="23" t="s">
        <v>47</v>
      </c>
      <c r="E1" s="24" t="s">
        <v>48</v>
      </c>
      <c r="F1" s="22" t="s">
        <v>49</v>
      </c>
      <c r="G1" s="22" t="s">
        <v>50</v>
      </c>
      <c r="H1" s="22" t="s">
        <v>51</v>
      </c>
    </row>
    <row r="2" spans="1:8">
      <c r="A2" s="15">
        <v>6108157680</v>
      </c>
      <c r="B2" s="16" t="s">
        <v>52</v>
      </c>
      <c r="C2" s="17" t="s">
        <v>53</v>
      </c>
      <c r="D2" s="18">
        <v>37335</v>
      </c>
      <c r="E2" s="19">
        <v>100000000</v>
      </c>
      <c r="F2" s="17" t="s">
        <v>54</v>
      </c>
      <c r="G2" s="20" t="s">
        <v>55</v>
      </c>
      <c r="H2" s="17" t="s">
        <v>56</v>
      </c>
    </row>
    <row r="3" spans="1:8">
      <c r="A3" s="15">
        <v>6068173538</v>
      </c>
      <c r="B3" s="16" t="s">
        <v>57</v>
      </c>
      <c r="C3" s="17" t="s">
        <v>58</v>
      </c>
      <c r="D3" s="18">
        <v>38411</v>
      </c>
      <c r="E3" s="19">
        <v>50000000</v>
      </c>
      <c r="F3" s="17" t="s">
        <v>59</v>
      </c>
      <c r="G3" s="20" t="s">
        <v>60</v>
      </c>
      <c r="H3" s="17" t="s">
        <v>61</v>
      </c>
    </row>
    <row r="4" spans="1:8">
      <c r="A4" s="25">
        <v>6218147868</v>
      </c>
      <c r="B4" s="26" t="s">
        <v>62</v>
      </c>
      <c r="C4" s="27" t="s">
        <v>63</v>
      </c>
      <c r="D4" s="28">
        <v>37289</v>
      </c>
      <c r="E4" s="29">
        <v>50000000</v>
      </c>
      <c r="F4" s="27" t="s">
        <v>59</v>
      </c>
      <c r="G4" s="30" t="s">
        <v>60</v>
      </c>
      <c r="H4" s="27" t="s">
        <v>56</v>
      </c>
    </row>
    <row r="5" spans="1:8">
      <c r="A5" s="15">
        <v>6038149594</v>
      </c>
      <c r="B5" s="16" t="s">
        <v>64</v>
      </c>
      <c r="C5" s="17" t="s">
        <v>65</v>
      </c>
      <c r="D5" s="18">
        <v>38824</v>
      </c>
      <c r="E5" s="19">
        <v>100000000</v>
      </c>
      <c r="F5" s="17" t="s">
        <v>59</v>
      </c>
      <c r="G5" s="20" t="s">
        <v>66</v>
      </c>
      <c r="H5" s="17" t="s">
        <v>61</v>
      </c>
    </row>
    <row r="6" spans="1:8">
      <c r="A6" s="15">
        <v>6058151285</v>
      </c>
      <c r="B6" s="16" t="s">
        <v>67</v>
      </c>
      <c r="C6" s="17" t="s">
        <v>68</v>
      </c>
      <c r="D6" s="18">
        <v>37293</v>
      </c>
      <c r="E6" s="19">
        <v>100000000</v>
      </c>
      <c r="F6" s="17" t="s">
        <v>59</v>
      </c>
      <c r="G6" s="20" t="s">
        <v>69</v>
      </c>
      <c r="H6" s="17" t="s">
        <v>61</v>
      </c>
    </row>
    <row r="7" spans="1:8">
      <c r="A7" s="15">
        <v>6038148691</v>
      </c>
      <c r="B7" s="16" t="s">
        <v>70</v>
      </c>
      <c r="C7" s="17" t="s">
        <v>71</v>
      </c>
      <c r="D7" s="18">
        <v>37274</v>
      </c>
      <c r="E7" s="19">
        <v>50000000</v>
      </c>
      <c r="F7" s="17" t="s">
        <v>59</v>
      </c>
      <c r="G7" s="20" t="s">
        <v>72</v>
      </c>
      <c r="H7" s="17" t="s">
        <v>61</v>
      </c>
    </row>
    <row r="8" spans="1:8">
      <c r="A8" s="15">
        <v>6028124780</v>
      </c>
      <c r="B8" s="16" t="s">
        <v>73</v>
      </c>
      <c r="C8" s="17" t="s">
        <v>74</v>
      </c>
      <c r="D8" s="18">
        <v>37719</v>
      </c>
      <c r="E8" s="19">
        <v>50000000</v>
      </c>
      <c r="F8" s="17" t="s">
        <v>59</v>
      </c>
      <c r="G8" s="20" t="s">
        <v>60</v>
      </c>
      <c r="H8" s="17" t="s">
        <v>61</v>
      </c>
    </row>
    <row r="9" spans="1:8">
      <c r="A9" s="15">
        <v>6138127356</v>
      </c>
      <c r="B9" s="16" t="s">
        <v>75</v>
      </c>
      <c r="C9" s="17" t="s">
        <v>76</v>
      </c>
      <c r="D9" s="18">
        <v>38368</v>
      </c>
      <c r="E9" s="19">
        <v>50000000</v>
      </c>
      <c r="F9" s="17" t="s">
        <v>59</v>
      </c>
      <c r="G9" s="20" t="s">
        <v>60</v>
      </c>
      <c r="H9" s="17" t="s">
        <v>61</v>
      </c>
    </row>
    <row r="10" spans="1:8">
      <c r="A10" s="15">
        <v>6038148623</v>
      </c>
      <c r="B10" s="16" t="s">
        <v>77</v>
      </c>
      <c r="C10" s="17" t="s">
        <v>78</v>
      </c>
      <c r="D10" s="18">
        <v>37261</v>
      </c>
      <c r="E10" s="19">
        <v>50000000</v>
      </c>
      <c r="F10" s="17" t="s">
        <v>59</v>
      </c>
      <c r="G10" s="20" t="s">
        <v>72</v>
      </c>
      <c r="H10" s="17" t="s">
        <v>61</v>
      </c>
    </row>
    <row r="11" spans="1:8">
      <c r="A11" s="15">
        <v>6058152426</v>
      </c>
      <c r="B11" s="16" t="s">
        <v>79</v>
      </c>
      <c r="C11" s="17" t="s">
        <v>80</v>
      </c>
      <c r="D11" s="18">
        <v>37350</v>
      </c>
      <c r="E11" s="19">
        <v>50000000</v>
      </c>
      <c r="F11" s="17" t="s">
        <v>59</v>
      </c>
      <c r="G11" s="20" t="s">
        <v>60</v>
      </c>
      <c r="H11" s="17" t="s">
        <v>61</v>
      </c>
    </row>
    <row r="12" spans="1:8">
      <c r="A12" s="15">
        <v>6038148714</v>
      </c>
      <c r="B12" s="16" t="s">
        <v>81</v>
      </c>
      <c r="C12" s="17" t="s">
        <v>82</v>
      </c>
      <c r="D12" s="18">
        <v>37642</v>
      </c>
      <c r="E12" s="19">
        <v>50000000</v>
      </c>
      <c r="F12" s="17" t="s">
        <v>59</v>
      </c>
      <c r="G12" s="20" t="s">
        <v>83</v>
      </c>
      <c r="H12" s="17" t="s">
        <v>61</v>
      </c>
    </row>
    <row r="13" spans="1:8">
      <c r="A13" s="15">
        <v>6038149008</v>
      </c>
      <c r="B13" s="16" t="s">
        <v>84</v>
      </c>
      <c r="C13" s="17" t="s">
        <v>85</v>
      </c>
      <c r="D13" s="18">
        <v>38403</v>
      </c>
      <c r="E13" s="19">
        <v>100000000</v>
      </c>
      <c r="F13" s="17" t="s">
        <v>59</v>
      </c>
      <c r="G13" s="20" t="s">
        <v>86</v>
      </c>
      <c r="H13" s="17" t="s">
        <v>61</v>
      </c>
    </row>
    <row r="14" spans="1:8">
      <c r="A14" s="15">
        <v>6218148534</v>
      </c>
      <c r="B14" s="16" t="s">
        <v>87</v>
      </c>
      <c r="C14" s="17" t="s">
        <v>88</v>
      </c>
      <c r="D14" s="18">
        <v>37327</v>
      </c>
      <c r="E14" s="19">
        <v>50000000</v>
      </c>
      <c r="F14" s="17" t="s">
        <v>59</v>
      </c>
      <c r="G14" s="20" t="s">
        <v>89</v>
      </c>
      <c r="H14" s="17" t="s">
        <v>61</v>
      </c>
    </row>
    <row r="15" spans="1:8">
      <c r="A15" s="15">
        <v>6178137775</v>
      </c>
      <c r="B15" s="16" t="s">
        <v>90</v>
      </c>
      <c r="C15" s="17" t="s">
        <v>91</v>
      </c>
      <c r="D15" s="18">
        <v>37279</v>
      </c>
      <c r="E15" s="19">
        <v>100000000</v>
      </c>
      <c r="F15" s="17" t="s">
        <v>59</v>
      </c>
      <c r="G15" s="20" t="s">
        <v>92</v>
      </c>
      <c r="H15" s="17" t="s">
        <v>61</v>
      </c>
    </row>
    <row r="16" spans="1:8">
      <c r="A16" s="15">
        <v>6068173788</v>
      </c>
      <c r="B16" s="16" t="s">
        <v>93</v>
      </c>
      <c r="C16" s="17" t="s">
        <v>94</v>
      </c>
      <c r="D16" s="18">
        <v>38432</v>
      </c>
      <c r="E16" s="19">
        <v>50000000</v>
      </c>
      <c r="F16" s="17" t="s">
        <v>59</v>
      </c>
      <c r="G16" s="20" t="s">
        <v>95</v>
      </c>
      <c r="H16" s="17" t="s">
        <v>61</v>
      </c>
    </row>
    <row r="17" spans="1:8">
      <c r="A17" s="15">
        <v>6068173697</v>
      </c>
      <c r="B17" s="16" t="s">
        <v>96</v>
      </c>
      <c r="C17" s="17" t="s">
        <v>97</v>
      </c>
      <c r="D17" s="18">
        <v>37327</v>
      </c>
      <c r="E17" s="19">
        <v>50000000</v>
      </c>
      <c r="F17" s="17" t="s">
        <v>59</v>
      </c>
      <c r="G17" s="20" t="s">
        <v>98</v>
      </c>
      <c r="H17" s="17" t="s">
        <v>61</v>
      </c>
    </row>
    <row r="18" spans="1:8">
      <c r="A18" s="15">
        <v>6038149760</v>
      </c>
      <c r="B18" s="16" t="s">
        <v>99</v>
      </c>
      <c r="C18" s="17" t="s">
        <v>100</v>
      </c>
      <c r="D18" s="18">
        <v>37375</v>
      </c>
      <c r="E18" s="19">
        <v>100000000</v>
      </c>
      <c r="F18" s="17" t="s">
        <v>59</v>
      </c>
      <c r="G18" s="20" t="s">
        <v>101</v>
      </c>
      <c r="H18" s="17" t="s">
        <v>61</v>
      </c>
    </row>
    <row r="19" spans="1:8">
      <c r="A19" s="15">
        <v>6138127474</v>
      </c>
      <c r="B19" s="16" t="s">
        <v>102</v>
      </c>
      <c r="C19" s="17" t="s">
        <v>103</v>
      </c>
      <c r="D19" s="18">
        <v>37647</v>
      </c>
      <c r="E19" s="19">
        <v>50000000</v>
      </c>
      <c r="F19" s="17" t="s">
        <v>59</v>
      </c>
      <c r="G19" s="20" t="s">
        <v>104</v>
      </c>
      <c r="H19" s="17" t="s">
        <v>61</v>
      </c>
    </row>
    <row r="20" spans="1:8">
      <c r="A20" s="15">
        <v>6038148517</v>
      </c>
      <c r="B20" s="16" t="s">
        <v>105</v>
      </c>
      <c r="C20" s="17" t="s">
        <v>106</v>
      </c>
      <c r="D20" s="18">
        <v>38355</v>
      </c>
      <c r="E20" s="19">
        <v>20000000</v>
      </c>
      <c r="F20" s="17" t="s">
        <v>59</v>
      </c>
      <c r="G20" s="20" t="s">
        <v>107</v>
      </c>
      <c r="H20" s="17" t="s">
        <v>61</v>
      </c>
    </row>
    <row r="21" spans="1:8">
      <c r="A21" s="15">
        <v>6038149446</v>
      </c>
      <c r="B21" s="16" t="s">
        <v>108</v>
      </c>
      <c r="C21" s="17" t="s">
        <v>109</v>
      </c>
      <c r="D21" s="18">
        <v>38815</v>
      </c>
      <c r="E21" s="19">
        <v>100000000</v>
      </c>
      <c r="F21" s="17" t="s">
        <v>59</v>
      </c>
      <c r="G21" s="20" t="s">
        <v>72</v>
      </c>
      <c r="H21" s="17" t="s">
        <v>61</v>
      </c>
    </row>
    <row r="22" spans="1:8">
      <c r="A22" s="15">
        <v>6058151200</v>
      </c>
      <c r="B22" s="16" t="s">
        <v>110</v>
      </c>
      <c r="C22" s="17" t="s">
        <v>111</v>
      </c>
      <c r="D22" s="18">
        <v>37295</v>
      </c>
      <c r="E22" s="19">
        <v>50000000</v>
      </c>
      <c r="F22" s="17" t="s">
        <v>59</v>
      </c>
      <c r="G22" s="20" t="s">
        <v>112</v>
      </c>
      <c r="H22" s="17" t="s">
        <v>56</v>
      </c>
    </row>
    <row r="23" spans="1:8">
      <c r="A23" s="15">
        <v>6068173873</v>
      </c>
      <c r="B23" s="16" t="s">
        <v>113</v>
      </c>
      <c r="C23" s="17" t="s">
        <v>114</v>
      </c>
      <c r="D23" s="18">
        <v>37707</v>
      </c>
      <c r="E23" s="19">
        <v>50000000</v>
      </c>
      <c r="F23" s="17" t="s">
        <v>59</v>
      </c>
      <c r="G23" s="20" t="s">
        <v>115</v>
      </c>
      <c r="H23" s="17" t="s">
        <v>61</v>
      </c>
    </row>
    <row r="24" spans="1:8">
      <c r="A24" s="15">
        <v>6178138378</v>
      </c>
      <c r="B24" s="16" t="s">
        <v>116</v>
      </c>
      <c r="C24" s="17" t="s">
        <v>117</v>
      </c>
      <c r="D24" s="18">
        <v>38773</v>
      </c>
      <c r="E24" s="19">
        <v>50000000</v>
      </c>
      <c r="F24" s="17" t="s">
        <v>118</v>
      </c>
      <c r="G24" s="20" t="s">
        <v>60</v>
      </c>
      <c r="H24" s="17" t="s">
        <v>61</v>
      </c>
    </row>
    <row r="25" spans="1:8">
      <c r="A25" s="15">
        <v>6038149701</v>
      </c>
      <c r="B25" s="16" t="s">
        <v>119</v>
      </c>
      <c r="C25" s="17" t="s">
        <v>120</v>
      </c>
      <c r="D25" s="18">
        <v>37371</v>
      </c>
      <c r="E25" s="19">
        <v>50000000</v>
      </c>
      <c r="F25" s="17" t="s">
        <v>118</v>
      </c>
      <c r="G25" s="20" t="s">
        <v>72</v>
      </c>
      <c r="H25" s="17" t="s">
        <v>56</v>
      </c>
    </row>
    <row r="26" spans="1:8">
      <c r="A26" s="15">
        <v>6218149413</v>
      </c>
      <c r="B26" s="16" t="s">
        <v>121</v>
      </c>
      <c r="C26" s="17" t="s">
        <v>122</v>
      </c>
      <c r="D26" s="18">
        <v>38471</v>
      </c>
      <c r="E26" s="19">
        <v>50000000</v>
      </c>
      <c r="F26" s="17" t="s">
        <v>118</v>
      </c>
      <c r="G26" s="20" t="s">
        <v>123</v>
      </c>
      <c r="H26" s="17" t="s">
        <v>61</v>
      </c>
    </row>
    <row r="27" spans="1:8">
      <c r="A27" s="15">
        <v>6088145924</v>
      </c>
      <c r="B27" s="16" t="s">
        <v>124</v>
      </c>
      <c r="C27" s="17" t="s">
        <v>125</v>
      </c>
      <c r="D27" s="18">
        <v>37280</v>
      </c>
      <c r="E27" s="19">
        <v>50000000</v>
      </c>
      <c r="F27" s="17" t="s">
        <v>118</v>
      </c>
      <c r="G27" s="20" t="s">
        <v>126</v>
      </c>
      <c r="H27" s="17" t="s">
        <v>56</v>
      </c>
    </row>
    <row r="28" spans="1:8">
      <c r="A28" s="15">
        <v>6038149137</v>
      </c>
      <c r="B28" s="16" t="s">
        <v>127</v>
      </c>
      <c r="C28" s="17" t="s">
        <v>128</v>
      </c>
      <c r="D28" s="18">
        <v>37326</v>
      </c>
      <c r="E28" s="19">
        <v>50000000</v>
      </c>
      <c r="F28" s="17" t="s">
        <v>118</v>
      </c>
      <c r="G28" s="20" t="s">
        <v>101</v>
      </c>
      <c r="H28" s="17" t="s">
        <v>61</v>
      </c>
    </row>
    <row r="29" spans="1:8">
      <c r="A29" s="15">
        <v>6068173150</v>
      </c>
      <c r="B29" s="16" t="s">
        <v>129</v>
      </c>
      <c r="C29" s="17" t="s">
        <v>130</v>
      </c>
      <c r="D29" s="18">
        <v>37294</v>
      </c>
      <c r="E29" s="19">
        <v>50000000</v>
      </c>
      <c r="F29" s="17" t="s">
        <v>118</v>
      </c>
      <c r="G29" s="20" t="s">
        <v>60</v>
      </c>
      <c r="H29" s="17" t="s">
        <v>61</v>
      </c>
    </row>
    <row r="30" spans="1:8">
      <c r="A30" s="15">
        <v>6068174278</v>
      </c>
      <c r="B30" s="16" t="s">
        <v>131</v>
      </c>
      <c r="C30" s="17" t="s">
        <v>132</v>
      </c>
      <c r="D30" s="18">
        <v>38450</v>
      </c>
      <c r="E30" s="19">
        <v>50000000</v>
      </c>
      <c r="F30" s="17" t="s">
        <v>118</v>
      </c>
      <c r="G30" s="20" t="s">
        <v>133</v>
      </c>
      <c r="H30" s="17" t="s">
        <v>61</v>
      </c>
    </row>
    <row r="31" spans="1:8">
      <c r="A31" s="15">
        <v>6158125267</v>
      </c>
      <c r="B31" s="16" t="s">
        <v>134</v>
      </c>
      <c r="C31" s="17" t="s">
        <v>135</v>
      </c>
      <c r="D31" s="18">
        <v>37706</v>
      </c>
      <c r="E31" s="19">
        <v>50000000</v>
      </c>
      <c r="F31" s="17" t="s">
        <v>118</v>
      </c>
      <c r="G31" s="20" t="s">
        <v>60</v>
      </c>
      <c r="H31" s="17" t="s">
        <v>61</v>
      </c>
    </row>
    <row r="32" spans="1:8">
      <c r="A32" s="15">
        <v>6058150437</v>
      </c>
      <c r="B32" s="16" t="s">
        <v>136</v>
      </c>
      <c r="C32" s="17" t="s">
        <v>137</v>
      </c>
      <c r="D32" s="18">
        <v>37263</v>
      </c>
      <c r="E32" s="19">
        <v>50000000</v>
      </c>
      <c r="F32" s="17" t="s">
        <v>118</v>
      </c>
      <c r="G32" s="20" t="s">
        <v>60</v>
      </c>
      <c r="H32" s="17" t="s">
        <v>61</v>
      </c>
    </row>
    <row r="33" spans="1:8">
      <c r="A33" s="15">
        <v>6178137881</v>
      </c>
      <c r="B33" s="16" t="s">
        <v>138</v>
      </c>
      <c r="C33" s="17" t="s">
        <v>139</v>
      </c>
      <c r="D33" s="18">
        <v>37285</v>
      </c>
      <c r="E33" s="19">
        <v>50000000</v>
      </c>
      <c r="F33" s="17" t="s">
        <v>118</v>
      </c>
      <c r="G33" s="20" t="s">
        <v>60</v>
      </c>
      <c r="H33" s="17" t="s">
        <v>56</v>
      </c>
    </row>
    <row r="34" spans="1:8">
      <c r="A34" s="15">
        <v>6038149481</v>
      </c>
      <c r="B34" s="16" t="s">
        <v>140</v>
      </c>
      <c r="C34" s="17" t="s">
        <v>141</v>
      </c>
      <c r="D34" s="18">
        <v>38817</v>
      </c>
      <c r="E34" s="19">
        <v>100000000</v>
      </c>
      <c r="F34" s="17" t="s">
        <v>118</v>
      </c>
      <c r="G34" s="20" t="s">
        <v>60</v>
      </c>
      <c r="H34" s="17" t="s">
        <v>61</v>
      </c>
    </row>
    <row r="35" spans="1:8">
      <c r="A35" s="15">
        <v>6058152321</v>
      </c>
      <c r="B35" s="16" t="s">
        <v>142</v>
      </c>
      <c r="C35" s="17" t="s">
        <v>143</v>
      </c>
      <c r="D35" s="18">
        <v>37334</v>
      </c>
      <c r="E35" s="19">
        <v>50000000</v>
      </c>
      <c r="F35" s="17" t="s">
        <v>118</v>
      </c>
      <c r="G35" s="20" t="s">
        <v>60</v>
      </c>
      <c r="H35" s="17" t="s">
        <v>61</v>
      </c>
    </row>
    <row r="36" spans="1:8">
      <c r="A36" s="15">
        <v>6068174598</v>
      </c>
      <c r="B36" s="16" t="s">
        <v>144</v>
      </c>
      <c r="C36" s="17" t="s">
        <v>145</v>
      </c>
      <c r="D36" s="18">
        <v>38833</v>
      </c>
      <c r="E36" s="19">
        <v>50000000</v>
      </c>
      <c r="F36" s="17" t="s">
        <v>118</v>
      </c>
      <c r="G36" s="20" t="s">
        <v>60</v>
      </c>
      <c r="H36" s="17" t="s">
        <v>61</v>
      </c>
    </row>
    <row r="37" spans="1:8">
      <c r="A37" s="15">
        <v>6058152872</v>
      </c>
      <c r="B37" s="16" t="s">
        <v>146</v>
      </c>
      <c r="C37" s="17" t="s">
        <v>147</v>
      </c>
      <c r="D37" s="18">
        <v>38460</v>
      </c>
      <c r="E37" s="19">
        <v>50000000</v>
      </c>
      <c r="F37" s="17" t="s">
        <v>118</v>
      </c>
      <c r="G37" s="20" t="s">
        <v>60</v>
      </c>
      <c r="H37" s="17" t="s">
        <v>61</v>
      </c>
    </row>
    <row r="38" spans="1:8">
      <c r="A38" s="15">
        <v>6068173079</v>
      </c>
      <c r="B38" s="16" t="s">
        <v>148</v>
      </c>
      <c r="C38" s="17" t="s">
        <v>149</v>
      </c>
      <c r="D38" s="18">
        <v>37285</v>
      </c>
      <c r="E38" s="19">
        <v>50000000</v>
      </c>
      <c r="F38" s="17" t="s">
        <v>118</v>
      </c>
      <c r="G38" s="20" t="s">
        <v>150</v>
      </c>
      <c r="H38" s="17" t="s">
        <v>61</v>
      </c>
    </row>
    <row r="39" spans="1:8">
      <c r="A39" s="15">
        <v>6038148479</v>
      </c>
      <c r="B39" s="16" t="s">
        <v>151</v>
      </c>
      <c r="C39" s="17" t="s">
        <v>152</v>
      </c>
      <c r="D39" s="18">
        <v>37260</v>
      </c>
      <c r="E39" s="19">
        <v>100000000</v>
      </c>
      <c r="F39" s="17" t="s">
        <v>118</v>
      </c>
      <c r="G39" s="20" t="s">
        <v>153</v>
      </c>
      <c r="H39" s="17" t="s">
        <v>61</v>
      </c>
    </row>
    <row r="40" spans="1:8">
      <c r="A40" s="15">
        <v>6068174150</v>
      </c>
      <c r="B40" s="16" t="s">
        <v>154</v>
      </c>
      <c r="C40" s="17" t="s">
        <v>155</v>
      </c>
      <c r="D40" s="18">
        <v>38453</v>
      </c>
      <c r="E40" s="19">
        <v>50000000</v>
      </c>
      <c r="F40" s="17" t="s">
        <v>118</v>
      </c>
      <c r="G40" s="20" t="s">
        <v>156</v>
      </c>
      <c r="H40" s="17" t="s">
        <v>61</v>
      </c>
    </row>
    <row r="41" spans="1:8">
      <c r="A41" s="15">
        <v>6028124184</v>
      </c>
      <c r="B41" s="16" t="s">
        <v>157</v>
      </c>
      <c r="C41" s="17" t="s">
        <v>158</v>
      </c>
      <c r="D41" s="18">
        <v>37315</v>
      </c>
      <c r="E41" s="19">
        <v>10000000</v>
      </c>
      <c r="F41" s="17" t="s">
        <v>118</v>
      </c>
      <c r="G41" s="20" t="s">
        <v>159</v>
      </c>
      <c r="H41" s="17" t="s">
        <v>61</v>
      </c>
    </row>
    <row r="42" spans="1:8">
      <c r="A42" s="15">
        <v>6038149159</v>
      </c>
      <c r="B42" s="16" t="s">
        <v>160</v>
      </c>
      <c r="C42" s="17" t="s">
        <v>161</v>
      </c>
      <c r="D42" s="18">
        <v>37687</v>
      </c>
      <c r="E42" s="19">
        <v>100000000</v>
      </c>
      <c r="F42" s="17" t="s">
        <v>118</v>
      </c>
      <c r="G42" s="20" t="s">
        <v>101</v>
      </c>
      <c r="H42" s="17" t="s">
        <v>61</v>
      </c>
    </row>
    <row r="43" spans="1:8">
      <c r="A43" s="15">
        <v>6038149017</v>
      </c>
      <c r="B43" s="16" t="s">
        <v>162</v>
      </c>
      <c r="C43" s="17" t="s">
        <v>163</v>
      </c>
      <c r="D43" s="18">
        <v>37314</v>
      </c>
      <c r="E43" s="19">
        <v>50000000</v>
      </c>
      <c r="F43" s="17" t="s">
        <v>118</v>
      </c>
      <c r="G43" s="20" t="s">
        <v>164</v>
      </c>
      <c r="H43" s="17" t="s">
        <v>61</v>
      </c>
    </row>
    <row r="44" spans="1:8">
      <c r="A44" s="15">
        <v>6218148082</v>
      </c>
      <c r="B44" s="16" t="s">
        <v>165</v>
      </c>
      <c r="C44" s="17" t="s">
        <v>166</v>
      </c>
      <c r="D44" s="18">
        <v>37286</v>
      </c>
      <c r="E44" s="19">
        <v>50000000</v>
      </c>
      <c r="F44" s="17" t="s">
        <v>118</v>
      </c>
      <c r="G44" s="20" t="s">
        <v>60</v>
      </c>
      <c r="H44" s="17" t="s">
        <v>61</v>
      </c>
    </row>
    <row r="45" spans="1:8">
      <c r="A45" s="15">
        <v>6028123875</v>
      </c>
      <c r="B45" s="16" t="s">
        <v>167</v>
      </c>
      <c r="C45" s="17" t="s">
        <v>168</v>
      </c>
      <c r="D45" s="18">
        <v>37653</v>
      </c>
      <c r="E45" s="19">
        <v>100000000</v>
      </c>
      <c r="F45" s="17" t="s">
        <v>118</v>
      </c>
      <c r="G45" s="20" t="s">
        <v>60</v>
      </c>
      <c r="H45" s="17" t="s">
        <v>61</v>
      </c>
    </row>
    <row r="46" spans="1:8">
      <c r="A46" s="15">
        <v>6058152897</v>
      </c>
      <c r="B46" s="16" t="s">
        <v>169</v>
      </c>
      <c r="C46" s="17" t="s">
        <v>170</v>
      </c>
      <c r="D46" s="18">
        <v>37373</v>
      </c>
      <c r="E46" s="19">
        <v>50000000</v>
      </c>
      <c r="F46" s="17" t="s">
        <v>118</v>
      </c>
      <c r="G46" s="20" t="s">
        <v>60</v>
      </c>
      <c r="H46" s="17" t="s">
        <v>61</v>
      </c>
    </row>
    <row r="47" spans="1:8">
      <c r="A47" s="15">
        <v>6078158526</v>
      </c>
      <c r="B47" s="16" t="s">
        <v>171</v>
      </c>
      <c r="C47" s="17" t="s">
        <v>172</v>
      </c>
      <c r="D47" s="18">
        <v>38064</v>
      </c>
      <c r="E47" s="19">
        <v>100000000</v>
      </c>
      <c r="F47" s="17" t="s">
        <v>118</v>
      </c>
      <c r="G47" s="20" t="s">
        <v>60</v>
      </c>
      <c r="H47" s="17" t="s">
        <v>61</v>
      </c>
    </row>
    <row r="48" spans="1:8">
      <c r="A48" s="15">
        <v>6038149252</v>
      </c>
      <c r="B48" s="16" t="s">
        <v>173</v>
      </c>
      <c r="C48" s="17" t="s">
        <v>174</v>
      </c>
      <c r="D48" s="18">
        <v>38066</v>
      </c>
      <c r="E48" s="19">
        <v>50000000</v>
      </c>
      <c r="F48" s="17" t="s">
        <v>118</v>
      </c>
      <c r="G48" s="20" t="s">
        <v>60</v>
      </c>
      <c r="H48" s="17" t="s">
        <v>61</v>
      </c>
    </row>
    <row r="49" spans="1:8">
      <c r="A49" s="15">
        <v>6068174681</v>
      </c>
      <c r="B49" s="16" t="s">
        <v>175</v>
      </c>
      <c r="C49" s="17" t="s">
        <v>176</v>
      </c>
      <c r="D49" s="18">
        <v>37378</v>
      </c>
      <c r="E49" s="19">
        <v>50000000</v>
      </c>
      <c r="F49" s="17" t="s">
        <v>118</v>
      </c>
      <c r="G49" s="20" t="s">
        <v>177</v>
      </c>
      <c r="H49" s="17" t="s">
        <v>61</v>
      </c>
    </row>
    <row r="50" spans="1:8">
      <c r="A50" s="15">
        <v>6038148989</v>
      </c>
      <c r="B50" s="16" t="s">
        <v>178</v>
      </c>
      <c r="C50" s="17" t="s">
        <v>179</v>
      </c>
      <c r="D50" s="18">
        <v>37288</v>
      </c>
      <c r="E50" s="19">
        <v>100000000</v>
      </c>
      <c r="F50" s="17" t="s">
        <v>118</v>
      </c>
      <c r="G50" s="20" t="s">
        <v>101</v>
      </c>
      <c r="H50" s="17" t="s">
        <v>61</v>
      </c>
    </row>
    <row r="51" spans="1:8">
      <c r="A51" s="15">
        <v>6028123729</v>
      </c>
      <c r="B51" s="16" t="s">
        <v>180</v>
      </c>
      <c r="C51" s="17" t="s">
        <v>181</v>
      </c>
      <c r="D51" s="18">
        <v>37281</v>
      </c>
      <c r="E51" s="19">
        <v>90000000</v>
      </c>
      <c r="F51" s="17" t="s">
        <v>118</v>
      </c>
      <c r="G51" s="20" t="s">
        <v>182</v>
      </c>
      <c r="H51" s="17" t="s">
        <v>61</v>
      </c>
    </row>
    <row r="52" spans="1:8">
      <c r="A52" s="15">
        <v>6028124954</v>
      </c>
      <c r="B52" s="16" t="s">
        <v>183</v>
      </c>
      <c r="C52" s="17" t="s">
        <v>184</v>
      </c>
      <c r="D52" s="18">
        <v>37729</v>
      </c>
      <c r="E52" s="19">
        <v>100000000</v>
      </c>
      <c r="F52" s="17" t="s">
        <v>118</v>
      </c>
      <c r="G52" s="20" t="s">
        <v>60</v>
      </c>
      <c r="H52" s="17" t="s">
        <v>61</v>
      </c>
    </row>
    <row r="53" spans="1:8">
      <c r="A53" s="15">
        <v>6038148510</v>
      </c>
      <c r="B53" s="16" t="s">
        <v>185</v>
      </c>
      <c r="C53" s="17" t="s">
        <v>186</v>
      </c>
      <c r="D53" s="18">
        <v>37994</v>
      </c>
      <c r="E53" s="19">
        <v>50000000</v>
      </c>
      <c r="F53" s="17" t="s">
        <v>118</v>
      </c>
      <c r="G53" s="20" t="s">
        <v>107</v>
      </c>
      <c r="H53" s="17" t="s">
        <v>61</v>
      </c>
    </row>
    <row r="54" spans="1:8">
      <c r="A54" s="15">
        <v>6158124355</v>
      </c>
      <c r="B54" s="16" t="s">
        <v>187</v>
      </c>
      <c r="C54" s="17" t="s">
        <v>188</v>
      </c>
      <c r="D54" s="18">
        <v>37291</v>
      </c>
      <c r="E54" s="19">
        <v>50000000</v>
      </c>
      <c r="F54" s="17" t="s">
        <v>118</v>
      </c>
      <c r="G54" s="20" t="s">
        <v>107</v>
      </c>
      <c r="H54" s="17" t="s">
        <v>61</v>
      </c>
    </row>
    <row r="55" spans="1:8">
      <c r="A55" s="15">
        <v>6078157441</v>
      </c>
      <c r="B55" s="16" t="s">
        <v>189</v>
      </c>
      <c r="C55" s="17" t="s">
        <v>190</v>
      </c>
      <c r="D55" s="18">
        <v>38727</v>
      </c>
      <c r="E55" s="19">
        <v>50000000</v>
      </c>
      <c r="F55" s="17" t="s">
        <v>118</v>
      </c>
      <c r="G55" s="20" t="s">
        <v>60</v>
      </c>
      <c r="H55" s="17" t="s">
        <v>61</v>
      </c>
    </row>
    <row r="56" spans="1:8">
      <c r="A56" s="15">
        <v>6058150023</v>
      </c>
      <c r="B56" s="16" t="s">
        <v>191</v>
      </c>
      <c r="C56" s="17" t="s">
        <v>192</v>
      </c>
      <c r="D56" s="18">
        <v>37258</v>
      </c>
      <c r="E56" s="19">
        <v>100000000</v>
      </c>
      <c r="F56" s="17" t="s">
        <v>118</v>
      </c>
      <c r="G56" s="20" t="s">
        <v>193</v>
      </c>
      <c r="H56" s="17" t="s">
        <v>61</v>
      </c>
    </row>
    <row r="57" spans="1:8">
      <c r="A57" s="15">
        <v>6058151825</v>
      </c>
      <c r="B57" s="16" t="s">
        <v>194</v>
      </c>
      <c r="C57" s="17" t="s">
        <v>195</v>
      </c>
      <c r="D57" s="18">
        <v>37334</v>
      </c>
      <c r="E57" s="19">
        <v>50000000</v>
      </c>
      <c r="F57" s="17" t="s">
        <v>118</v>
      </c>
      <c r="G57" s="20" t="s">
        <v>60</v>
      </c>
      <c r="H57" s="17" t="s">
        <v>61</v>
      </c>
    </row>
    <row r="58" spans="1:8">
      <c r="A58" s="15">
        <v>6058151126</v>
      </c>
      <c r="B58" s="16" t="s">
        <v>196</v>
      </c>
      <c r="C58" s="17" t="s">
        <v>197</v>
      </c>
      <c r="D58" s="18">
        <v>37674</v>
      </c>
      <c r="E58" s="19">
        <v>100000000</v>
      </c>
      <c r="F58" s="17" t="s">
        <v>118</v>
      </c>
      <c r="G58" s="20" t="s">
        <v>150</v>
      </c>
      <c r="H58" s="17" t="s">
        <v>61</v>
      </c>
    </row>
    <row r="59" spans="1:8">
      <c r="A59" s="15">
        <v>6028124185</v>
      </c>
      <c r="B59" s="16" t="s">
        <v>198</v>
      </c>
      <c r="C59" s="17" t="s">
        <v>199</v>
      </c>
      <c r="D59" s="18">
        <v>38045</v>
      </c>
      <c r="E59" s="19">
        <v>50000000</v>
      </c>
      <c r="F59" s="17" t="s">
        <v>118</v>
      </c>
      <c r="G59" s="20" t="s">
        <v>200</v>
      </c>
      <c r="H59" s="17" t="s">
        <v>61</v>
      </c>
    </row>
    <row r="60" spans="1:8">
      <c r="A60" s="15">
        <v>6178139310</v>
      </c>
      <c r="B60" s="16" t="s">
        <v>201</v>
      </c>
      <c r="C60" s="17" t="s">
        <v>202</v>
      </c>
      <c r="D60" s="18">
        <v>37355</v>
      </c>
      <c r="E60" s="19">
        <v>50000000</v>
      </c>
      <c r="F60" s="17" t="s">
        <v>118</v>
      </c>
      <c r="G60" s="20" t="s">
        <v>60</v>
      </c>
      <c r="H60" s="17" t="s">
        <v>61</v>
      </c>
    </row>
    <row r="61" spans="1:8">
      <c r="A61" s="15">
        <v>6068172340</v>
      </c>
      <c r="B61" s="16" t="s">
        <v>203</v>
      </c>
      <c r="C61" s="17" t="s">
        <v>204</v>
      </c>
      <c r="D61" s="18">
        <v>37264</v>
      </c>
      <c r="E61" s="19">
        <v>100000000</v>
      </c>
      <c r="F61" s="17" t="s">
        <v>118</v>
      </c>
      <c r="G61" s="20" t="s">
        <v>205</v>
      </c>
      <c r="H61" s="17" t="s">
        <v>61</v>
      </c>
    </row>
    <row r="62" spans="1:8">
      <c r="A62" s="15">
        <v>6038149006</v>
      </c>
      <c r="B62" s="16" t="s">
        <v>206</v>
      </c>
      <c r="C62" s="17" t="s">
        <v>207</v>
      </c>
      <c r="D62" s="18">
        <v>38770</v>
      </c>
      <c r="E62" s="19">
        <v>50000000</v>
      </c>
      <c r="F62" s="17" t="s">
        <v>118</v>
      </c>
      <c r="G62" s="20" t="s">
        <v>208</v>
      </c>
      <c r="H62" s="17" t="s">
        <v>61</v>
      </c>
    </row>
    <row r="63" spans="1:8">
      <c r="A63" s="15">
        <v>6068172999</v>
      </c>
      <c r="B63" s="16" t="s">
        <v>209</v>
      </c>
      <c r="C63" s="17" t="s">
        <v>210</v>
      </c>
      <c r="D63" s="18">
        <v>37651</v>
      </c>
      <c r="E63" s="19">
        <v>80000000</v>
      </c>
      <c r="F63" s="17" t="s">
        <v>118</v>
      </c>
      <c r="G63" s="20" t="s">
        <v>211</v>
      </c>
      <c r="H63" s="17" t="s">
        <v>61</v>
      </c>
    </row>
    <row r="64" spans="1:8">
      <c r="A64" s="15">
        <v>6158124665</v>
      </c>
      <c r="B64" s="16" t="s">
        <v>212</v>
      </c>
      <c r="C64" s="17" t="s">
        <v>213</v>
      </c>
      <c r="D64" s="18">
        <v>38040</v>
      </c>
      <c r="E64" s="19">
        <v>50000000</v>
      </c>
      <c r="F64" s="17" t="s">
        <v>118</v>
      </c>
      <c r="G64" s="20" t="s">
        <v>214</v>
      </c>
      <c r="H64" s="17" t="s">
        <v>61</v>
      </c>
    </row>
    <row r="65" spans="1:8">
      <c r="A65" s="15">
        <v>6028123786</v>
      </c>
      <c r="B65" s="16" t="s">
        <v>215</v>
      </c>
      <c r="C65" s="17" t="s">
        <v>216</v>
      </c>
      <c r="D65" s="18">
        <v>37278</v>
      </c>
      <c r="E65" s="19">
        <v>50000000</v>
      </c>
      <c r="F65" s="17" t="s">
        <v>118</v>
      </c>
      <c r="G65" s="20" t="s">
        <v>217</v>
      </c>
      <c r="H65" s="17" t="s">
        <v>61</v>
      </c>
    </row>
    <row r="66" spans="1:8">
      <c r="A66" s="15">
        <v>6038148533</v>
      </c>
      <c r="B66" s="16" t="s">
        <v>218</v>
      </c>
      <c r="C66" s="17" t="s">
        <v>219</v>
      </c>
      <c r="D66" s="18">
        <v>37264</v>
      </c>
      <c r="E66" s="19">
        <v>50000000</v>
      </c>
      <c r="F66" s="17" t="s">
        <v>118</v>
      </c>
      <c r="G66" s="20" t="s">
        <v>220</v>
      </c>
      <c r="H66" s="17" t="s">
        <v>61</v>
      </c>
    </row>
    <row r="67" spans="1:8">
      <c r="A67" s="15">
        <v>6218147974</v>
      </c>
      <c r="B67" s="16" t="s">
        <v>221</v>
      </c>
      <c r="C67" s="17" t="s">
        <v>222</v>
      </c>
      <c r="D67" s="18">
        <v>37305</v>
      </c>
      <c r="E67" s="19">
        <v>100000000</v>
      </c>
      <c r="F67" s="17" t="s">
        <v>118</v>
      </c>
      <c r="G67" s="20" t="s">
        <v>133</v>
      </c>
      <c r="H67" s="17" t="s">
        <v>61</v>
      </c>
    </row>
    <row r="68" spans="1:8">
      <c r="A68" s="15">
        <v>6178138249</v>
      </c>
      <c r="B68" s="16" t="s">
        <v>223</v>
      </c>
      <c r="C68" s="17" t="s">
        <v>224</v>
      </c>
      <c r="D68" s="18">
        <v>38036</v>
      </c>
      <c r="E68" s="19">
        <v>50000000</v>
      </c>
      <c r="F68" s="17" t="s">
        <v>118</v>
      </c>
      <c r="G68" s="20" t="s">
        <v>225</v>
      </c>
      <c r="H68" s="17" t="s">
        <v>61</v>
      </c>
    </row>
    <row r="69" spans="1:8">
      <c r="A69" s="15">
        <v>6028123512</v>
      </c>
      <c r="B69" s="16" t="s">
        <v>226</v>
      </c>
      <c r="C69" s="17" t="s">
        <v>227</v>
      </c>
      <c r="D69" s="18">
        <v>37263</v>
      </c>
      <c r="E69" s="19">
        <v>50000000</v>
      </c>
      <c r="F69" s="17" t="s">
        <v>118</v>
      </c>
      <c r="G69" s="20" t="s">
        <v>200</v>
      </c>
      <c r="H69" s="17" t="s">
        <v>61</v>
      </c>
    </row>
    <row r="70" spans="1:8">
      <c r="A70" s="15">
        <v>6028123885</v>
      </c>
      <c r="B70" s="16" t="s">
        <v>228</v>
      </c>
      <c r="C70" s="17" t="s">
        <v>229</v>
      </c>
      <c r="D70" s="18">
        <v>38010</v>
      </c>
      <c r="E70" s="19">
        <v>50000000</v>
      </c>
      <c r="F70" s="17" t="s">
        <v>59</v>
      </c>
      <c r="G70" s="20" t="s">
        <v>60</v>
      </c>
      <c r="H70" s="17" t="s">
        <v>61</v>
      </c>
    </row>
    <row r="71" spans="1:8">
      <c r="A71" s="15">
        <v>6038148935</v>
      </c>
      <c r="B71" s="16" t="s">
        <v>230</v>
      </c>
      <c r="C71" s="17" t="s">
        <v>231</v>
      </c>
      <c r="D71" s="18">
        <v>37659</v>
      </c>
      <c r="E71" s="19">
        <v>50000000</v>
      </c>
      <c r="F71" s="17" t="s">
        <v>59</v>
      </c>
      <c r="G71" s="20" t="s">
        <v>72</v>
      </c>
      <c r="H71" s="17" t="s">
        <v>56</v>
      </c>
    </row>
    <row r="72" spans="1:8">
      <c r="A72" s="15">
        <v>6178138278</v>
      </c>
      <c r="B72" s="16" t="s">
        <v>232</v>
      </c>
      <c r="C72" s="17" t="s">
        <v>233</v>
      </c>
      <c r="D72" s="18">
        <v>37306</v>
      </c>
      <c r="E72" s="19">
        <v>10000000</v>
      </c>
      <c r="F72" s="17" t="s">
        <v>59</v>
      </c>
      <c r="G72" s="20" t="s">
        <v>60</v>
      </c>
      <c r="H72" s="17" t="s">
        <v>61</v>
      </c>
    </row>
    <row r="73" spans="1:8">
      <c r="A73" s="15">
        <v>6028124500</v>
      </c>
      <c r="B73" s="16" t="s">
        <v>234</v>
      </c>
      <c r="C73" s="17" t="s">
        <v>235</v>
      </c>
      <c r="D73" s="18">
        <v>37340</v>
      </c>
      <c r="E73" s="19">
        <v>50000000</v>
      </c>
      <c r="F73" s="17" t="s">
        <v>59</v>
      </c>
      <c r="G73" s="20" t="s">
        <v>133</v>
      </c>
      <c r="H73" s="17" t="s">
        <v>61</v>
      </c>
    </row>
    <row r="74" spans="1:8">
      <c r="A74" s="15">
        <v>6068172251</v>
      </c>
      <c r="B74" s="16" t="s">
        <v>236</v>
      </c>
      <c r="C74" s="17" t="s">
        <v>237</v>
      </c>
      <c r="D74" s="18">
        <v>37988</v>
      </c>
      <c r="E74" s="19">
        <v>50000000</v>
      </c>
      <c r="F74" s="17" t="s">
        <v>59</v>
      </c>
      <c r="G74" s="20" t="s">
        <v>115</v>
      </c>
      <c r="H74" s="17" t="s">
        <v>61</v>
      </c>
    </row>
    <row r="75" spans="1:8">
      <c r="A75" s="15">
        <v>6058152264</v>
      </c>
      <c r="B75" s="16" t="s">
        <v>238</v>
      </c>
      <c r="C75" s="17" t="s">
        <v>239</v>
      </c>
      <c r="D75" s="18">
        <v>37344</v>
      </c>
      <c r="E75" s="19">
        <v>100000000</v>
      </c>
      <c r="F75" s="17" t="s">
        <v>59</v>
      </c>
      <c r="G75" s="20" t="s">
        <v>240</v>
      </c>
      <c r="H75" s="17" t="s">
        <v>61</v>
      </c>
    </row>
    <row r="76" spans="1:8">
      <c r="A76" s="15">
        <v>6088146780</v>
      </c>
      <c r="B76" s="16" t="s">
        <v>241</v>
      </c>
      <c r="C76" s="17" t="s">
        <v>242</v>
      </c>
      <c r="D76" s="18">
        <v>37274</v>
      </c>
      <c r="E76" s="19">
        <v>70000000</v>
      </c>
      <c r="F76" s="17" t="s">
        <v>59</v>
      </c>
      <c r="G76" s="20" t="s">
        <v>243</v>
      </c>
      <c r="H76" s="17" t="s">
        <v>61</v>
      </c>
    </row>
    <row r="77" spans="1:8">
      <c r="A77" s="15">
        <v>6168138097</v>
      </c>
      <c r="B77" s="16" t="s">
        <v>244</v>
      </c>
      <c r="C77" s="17" t="s">
        <v>245</v>
      </c>
      <c r="D77" s="18">
        <v>37306</v>
      </c>
      <c r="E77" s="19">
        <v>50000000</v>
      </c>
      <c r="F77" s="17" t="s">
        <v>59</v>
      </c>
      <c r="G77" s="20" t="s">
        <v>246</v>
      </c>
      <c r="H77" s="17" t="s">
        <v>61</v>
      </c>
    </row>
    <row r="78" spans="1:8">
      <c r="A78" s="15">
        <v>6078158286</v>
      </c>
      <c r="B78" s="16" t="s">
        <v>247</v>
      </c>
      <c r="C78" s="17" t="s">
        <v>248</v>
      </c>
      <c r="D78" s="18">
        <v>37315</v>
      </c>
      <c r="E78" s="19">
        <v>50000000</v>
      </c>
      <c r="F78" s="17" t="s">
        <v>60</v>
      </c>
      <c r="G78" s="20" t="s">
        <v>249</v>
      </c>
      <c r="H78" s="17" t="s">
        <v>61</v>
      </c>
    </row>
    <row r="79" spans="1:8">
      <c r="A79" s="15">
        <v>6068173247</v>
      </c>
      <c r="B79" s="16" t="s">
        <v>250</v>
      </c>
      <c r="C79" s="17" t="s">
        <v>251</v>
      </c>
      <c r="D79" s="18">
        <v>37279</v>
      </c>
      <c r="E79" s="19">
        <v>50000000</v>
      </c>
      <c r="F79" s="17" t="s">
        <v>252</v>
      </c>
      <c r="G79" s="20" t="s">
        <v>253</v>
      </c>
      <c r="H79" s="17" t="s">
        <v>61</v>
      </c>
    </row>
    <row r="80" spans="1:8">
      <c r="A80" s="15">
        <v>6068172977</v>
      </c>
      <c r="B80" s="16" t="s">
        <v>254</v>
      </c>
      <c r="C80" s="17" t="s">
        <v>255</v>
      </c>
      <c r="D80" s="18">
        <v>37278</v>
      </c>
      <c r="E80" s="19">
        <v>50000000</v>
      </c>
      <c r="F80" s="17" t="s">
        <v>252</v>
      </c>
      <c r="G80" s="20" t="s">
        <v>256</v>
      </c>
      <c r="H80" s="17" t="s">
        <v>61</v>
      </c>
    </row>
    <row r="81" spans="1:8">
      <c r="A81" s="15">
        <v>6058151193</v>
      </c>
      <c r="B81" s="16" t="s">
        <v>257</v>
      </c>
      <c r="C81" s="17" t="s">
        <v>258</v>
      </c>
      <c r="D81" s="18">
        <v>38037</v>
      </c>
      <c r="E81" s="19">
        <v>50000000</v>
      </c>
      <c r="F81" s="17" t="s">
        <v>252</v>
      </c>
      <c r="G81" s="20" t="s">
        <v>259</v>
      </c>
      <c r="H81" s="17" t="s">
        <v>61</v>
      </c>
    </row>
    <row r="82" spans="1:8">
      <c r="A82" s="15">
        <v>6028123707</v>
      </c>
      <c r="B82" s="16" t="s">
        <v>260</v>
      </c>
      <c r="C82" s="17" t="s">
        <v>261</v>
      </c>
      <c r="D82" s="18">
        <v>37271</v>
      </c>
      <c r="E82" s="19">
        <v>50000000</v>
      </c>
      <c r="F82" s="17" t="s">
        <v>252</v>
      </c>
      <c r="G82" s="20" t="s">
        <v>262</v>
      </c>
      <c r="H82" s="17" t="s">
        <v>61</v>
      </c>
    </row>
    <row r="83" spans="1:8">
      <c r="A83" s="15">
        <v>6038149298</v>
      </c>
      <c r="B83" s="16" t="s">
        <v>263</v>
      </c>
      <c r="C83" s="17" t="s">
        <v>264</v>
      </c>
      <c r="D83" s="18">
        <v>37342</v>
      </c>
      <c r="E83" s="19">
        <v>100000000</v>
      </c>
      <c r="F83" s="17" t="s">
        <v>265</v>
      </c>
      <c r="G83" s="20" t="s">
        <v>266</v>
      </c>
      <c r="H83" s="17" t="s">
        <v>61</v>
      </c>
    </row>
    <row r="84" spans="1:8">
      <c r="A84" s="15">
        <v>6058151285</v>
      </c>
      <c r="B84" s="16" t="s">
        <v>67</v>
      </c>
      <c r="C84" s="17" t="s">
        <v>68</v>
      </c>
      <c r="D84" s="18">
        <v>37293</v>
      </c>
      <c r="E84" s="19">
        <v>100000000</v>
      </c>
      <c r="F84" s="17" t="s">
        <v>59</v>
      </c>
      <c r="G84" s="20" t="s">
        <v>69</v>
      </c>
      <c r="H84" s="17" t="s">
        <v>61</v>
      </c>
    </row>
    <row r="85" spans="1:8">
      <c r="A85" s="15">
        <v>6218147868</v>
      </c>
      <c r="B85" s="16" t="s">
        <v>62</v>
      </c>
      <c r="C85" s="17" t="s">
        <v>267</v>
      </c>
      <c r="D85" s="18">
        <v>37289</v>
      </c>
      <c r="E85" s="19">
        <v>50000000</v>
      </c>
      <c r="F85" s="17" t="s">
        <v>59</v>
      </c>
      <c r="G85" s="20" t="s">
        <v>60</v>
      </c>
      <c r="H85" s="17" t="s">
        <v>56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6"/>
  <sheetViews>
    <sheetView showGridLines="0" workbookViewId="0">
      <selection activeCell="C3" sqref="C3"/>
    </sheetView>
  </sheetViews>
  <sheetFormatPr defaultRowHeight="14.4"/>
  <cols>
    <col min="1" max="1" width="6.3984375" style="31" customWidth="1"/>
    <col min="2" max="2" width="9.3984375" style="31" customWidth="1"/>
    <col min="3" max="3" width="12.3984375" style="31" bestFit="1" customWidth="1"/>
    <col min="4" max="4" width="8.3984375" style="31" bestFit="1" customWidth="1"/>
    <col min="5" max="5" width="12.59765625" style="31" bestFit="1" customWidth="1"/>
    <col min="6" max="8" width="10.3984375" style="31" customWidth="1"/>
    <col min="9" max="9" width="10.3984375" customWidth="1"/>
    <col min="10" max="10" width="10.59765625" customWidth="1"/>
    <col min="11" max="12" width="11.8984375" customWidth="1"/>
  </cols>
  <sheetData>
    <row r="1" spans="1:12" ht="23.95" customHeight="1">
      <c r="A1" s="64" t="s">
        <v>333</v>
      </c>
      <c r="B1" s="64"/>
      <c r="C1" s="64"/>
      <c r="D1" s="64"/>
      <c r="E1" s="64"/>
      <c r="F1" s="64"/>
      <c r="G1" s="64"/>
      <c r="H1" s="65"/>
      <c r="I1" s="66"/>
      <c r="J1" s="66"/>
      <c r="K1" s="66"/>
      <c r="L1" s="66"/>
    </row>
    <row r="2" spans="1:12" ht="12.05" customHeight="1" thickBot="1"/>
    <row r="3" spans="1:12" ht="18.7" customHeight="1">
      <c r="A3" s="101" t="s">
        <v>341</v>
      </c>
      <c r="B3" s="102"/>
      <c r="C3" s="71">
        <v>1</v>
      </c>
    </row>
    <row r="4" spans="1:12" ht="18.7" customHeight="1" thickBot="1">
      <c r="A4" s="103" t="s">
        <v>334</v>
      </c>
      <c r="B4" s="104"/>
      <c r="C4" s="72">
        <v>2</v>
      </c>
    </row>
    <row r="5" spans="1:12" ht="10.55" customHeight="1" thickBot="1"/>
    <row r="6" spans="1:12" ht="22.6" customHeight="1">
      <c r="A6" s="95" t="s">
        <v>311</v>
      </c>
      <c r="B6" s="97" t="s">
        <v>312</v>
      </c>
      <c r="C6" s="97" t="s">
        <v>313</v>
      </c>
      <c r="D6" s="97" t="s">
        <v>314</v>
      </c>
      <c r="E6" s="37" t="s">
        <v>315</v>
      </c>
      <c r="F6" s="99" t="s">
        <v>316</v>
      </c>
      <c r="G6" s="100"/>
      <c r="H6" s="105" t="s">
        <v>317</v>
      </c>
      <c r="I6" s="106"/>
      <c r="J6" s="107" t="s">
        <v>318</v>
      </c>
      <c r="K6" s="109" t="s">
        <v>339</v>
      </c>
      <c r="L6" s="93" t="s">
        <v>340</v>
      </c>
    </row>
    <row r="7" spans="1:12" ht="22.6" customHeight="1">
      <c r="A7" s="96"/>
      <c r="B7" s="98"/>
      <c r="C7" s="98"/>
      <c r="D7" s="98"/>
      <c r="E7" s="38" t="s">
        <v>319</v>
      </c>
      <c r="F7" s="38" t="s">
        <v>320</v>
      </c>
      <c r="G7" s="39" t="s">
        <v>321</v>
      </c>
      <c r="H7" s="40" t="s">
        <v>320</v>
      </c>
      <c r="I7" s="41" t="s">
        <v>321</v>
      </c>
      <c r="J7" s="108"/>
      <c r="K7" s="110"/>
      <c r="L7" s="94"/>
    </row>
    <row r="8" spans="1:12" ht="22.6" customHeight="1">
      <c r="A8" s="42">
        <v>1</v>
      </c>
      <c r="B8" s="43" t="s">
        <v>322</v>
      </c>
      <c r="C8" s="44" t="s">
        <v>323</v>
      </c>
      <c r="D8" s="45" t="s">
        <v>324</v>
      </c>
      <c r="E8" s="44">
        <v>8.34</v>
      </c>
      <c r="F8" s="46">
        <v>7.8E-2</v>
      </c>
      <c r="G8" s="47">
        <f>F8*1100/E8</f>
        <v>10.287769784172662</v>
      </c>
      <c r="H8" s="48">
        <f>134/1100</f>
        <v>0.12181818181818181</v>
      </c>
      <c r="I8" s="49">
        <f>H8*1100/E8</f>
        <v>16.067146282973621</v>
      </c>
      <c r="J8" s="50">
        <f>37000*12</f>
        <v>444000</v>
      </c>
      <c r="K8" s="68">
        <v>50037.272727272699</v>
      </c>
      <c r="L8" s="69">
        <f>J8*H8</f>
        <v>54087.272727272728</v>
      </c>
    </row>
    <row r="9" spans="1:12" ht="22.6" customHeight="1">
      <c r="A9" s="42">
        <v>2</v>
      </c>
      <c r="B9" s="43" t="s">
        <v>325</v>
      </c>
      <c r="C9" s="43" t="s">
        <v>326</v>
      </c>
      <c r="D9" s="45" t="s">
        <v>335</v>
      </c>
      <c r="E9" s="43">
        <v>16.2</v>
      </c>
      <c r="F9" s="46">
        <v>0.1203</v>
      </c>
      <c r="G9" s="47">
        <f>F9*1100/E9</f>
        <v>8.1685185185185194</v>
      </c>
      <c r="H9" s="51">
        <f>180/1100</f>
        <v>0.16363636363636364</v>
      </c>
      <c r="I9" s="49">
        <f t="shared" ref="I9:I13" si="0">H9*1100/E9</f>
        <v>11.111111111111111</v>
      </c>
      <c r="J9" s="50">
        <f>160000*12</f>
        <v>1920000</v>
      </c>
      <c r="K9" s="68">
        <v>324181.818181818</v>
      </c>
      <c r="L9" s="69">
        <f t="shared" ref="L9:L13" si="1">J9*H9</f>
        <v>314181.81818181818</v>
      </c>
    </row>
    <row r="10" spans="1:12" ht="22.6" customHeight="1">
      <c r="A10" s="42">
        <v>3</v>
      </c>
      <c r="B10" s="43" t="s">
        <v>325</v>
      </c>
      <c r="C10" s="43" t="s">
        <v>327</v>
      </c>
      <c r="D10" s="45" t="s">
        <v>336</v>
      </c>
      <c r="E10" s="43">
        <v>6.2</v>
      </c>
      <c r="F10" s="46" t="s">
        <v>328</v>
      </c>
      <c r="G10" s="47" t="s">
        <v>328</v>
      </c>
      <c r="H10" s="51">
        <f>125/1100</f>
        <v>0.11363636363636363</v>
      </c>
      <c r="I10" s="49">
        <f t="shared" si="0"/>
        <v>20.161290322580644</v>
      </c>
      <c r="J10" s="50">
        <f>90000*12</f>
        <v>1080000</v>
      </c>
      <c r="K10" s="68">
        <v>102727.272727273</v>
      </c>
      <c r="L10" s="69">
        <f t="shared" si="1"/>
        <v>122727.27272727272</v>
      </c>
    </row>
    <row r="11" spans="1:12" ht="22.6" customHeight="1">
      <c r="A11" s="42">
        <v>4</v>
      </c>
      <c r="B11" s="43" t="s">
        <v>322</v>
      </c>
      <c r="C11" s="44" t="s">
        <v>329</v>
      </c>
      <c r="D11" s="45" t="s">
        <v>337</v>
      </c>
      <c r="E11" s="44">
        <v>14.3</v>
      </c>
      <c r="F11" s="46">
        <v>0.1203</v>
      </c>
      <c r="G11" s="47">
        <f>F11*1100/E11</f>
        <v>9.2538461538461547</v>
      </c>
      <c r="H11" s="51">
        <f>210/1100</f>
        <v>0.19090909090909092</v>
      </c>
      <c r="I11" s="49">
        <f t="shared" si="0"/>
        <v>14.685314685314685</v>
      </c>
      <c r="J11" s="50">
        <f>25000*12</f>
        <v>300000</v>
      </c>
      <c r="K11" s="68">
        <v>43272.727272727301</v>
      </c>
      <c r="L11" s="69">
        <f t="shared" si="1"/>
        <v>57272.727272727272</v>
      </c>
    </row>
    <row r="12" spans="1:12" ht="22.6" customHeight="1">
      <c r="A12" s="42">
        <v>5</v>
      </c>
      <c r="B12" s="43" t="s">
        <v>322</v>
      </c>
      <c r="C12" s="43" t="s">
        <v>330</v>
      </c>
      <c r="D12" s="45" t="s">
        <v>324</v>
      </c>
      <c r="E12" s="43">
        <v>10.1</v>
      </c>
      <c r="F12" s="52" t="s">
        <v>328</v>
      </c>
      <c r="G12" s="53" t="s">
        <v>328</v>
      </c>
      <c r="H12" s="51">
        <f>210/1100</f>
        <v>0.19090909090909092</v>
      </c>
      <c r="I12" s="49">
        <f t="shared" si="0"/>
        <v>20.792079207920793</v>
      </c>
      <c r="J12" s="50">
        <f>44000*12</f>
        <v>528000</v>
      </c>
      <c r="K12" s="68">
        <v>99800</v>
      </c>
      <c r="L12" s="69">
        <f t="shared" si="1"/>
        <v>100800</v>
      </c>
    </row>
    <row r="13" spans="1:12" ht="22.6" customHeight="1" thickBot="1">
      <c r="A13" s="54">
        <v>6</v>
      </c>
      <c r="B13" s="55" t="s">
        <v>322</v>
      </c>
      <c r="C13" s="55" t="s">
        <v>331</v>
      </c>
      <c r="D13" s="56" t="s">
        <v>338</v>
      </c>
      <c r="E13" s="55">
        <v>7.37</v>
      </c>
      <c r="F13" s="57" t="s">
        <v>328</v>
      </c>
      <c r="G13" s="58" t="s">
        <v>328</v>
      </c>
      <c r="H13" s="59">
        <f>160/1100</f>
        <v>0.14545454545454545</v>
      </c>
      <c r="I13" s="60">
        <f t="shared" si="0"/>
        <v>21.709633649932158</v>
      </c>
      <c r="J13" s="61">
        <f>51000*12</f>
        <v>612000</v>
      </c>
      <c r="K13" s="70">
        <v>90018.181818181794</v>
      </c>
      <c r="L13" s="69">
        <f t="shared" si="1"/>
        <v>89018.181818181809</v>
      </c>
    </row>
    <row r="14" spans="1:12" ht="20.25" customHeight="1" thickBot="1">
      <c r="A14" s="90" t="s">
        <v>332</v>
      </c>
      <c r="B14" s="91"/>
      <c r="C14" s="91"/>
      <c r="D14" s="91"/>
      <c r="E14" s="91"/>
      <c r="F14" s="91"/>
      <c r="G14" s="91"/>
      <c r="H14" s="91"/>
      <c r="I14" s="92"/>
      <c r="J14" s="62">
        <f>SUM(J8:J13)</f>
        <v>4884000</v>
      </c>
      <c r="K14" s="63">
        <f>SUM(K8:K13)</f>
        <v>710037.27272727282</v>
      </c>
      <c r="L14" s="67">
        <f>SUM(L8:L13)</f>
        <v>738087.27272727259</v>
      </c>
    </row>
    <row r="15" spans="1:12" ht="29.25" customHeight="1">
      <c r="A15"/>
      <c r="B15"/>
      <c r="C15"/>
      <c r="D15"/>
      <c r="E15"/>
      <c r="F15"/>
      <c r="G15"/>
      <c r="H15"/>
    </row>
    <row r="16" spans="1:12" ht="29.25" customHeight="1">
      <c r="B16"/>
      <c r="C16"/>
      <c r="D16"/>
      <c r="E16"/>
      <c r="F16"/>
      <c r="G16"/>
      <c r="H16"/>
    </row>
  </sheetData>
  <mergeCells count="12">
    <mergeCell ref="A3:B3"/>
    <mergeCell ref="A4:B4"/>
    <mergeCell ref="H6:I6"/>
    <mergeCell ref="J6:J7"/>
    <mergeCell ref="K6:K7"/>
    <mergeCell ref="A14:I14"/>
    <mergeCell ref="L6:L7"/>
    <mergeCell ref="A6:A7"/>
    <mergeCell ref="B6:B7"/>
    <mergeCell ref="C6:C7"/>
    <mergeCell ref="D6:D7"/>
    <mergeCell ref="F6:G6"/>
  </mergeCells>
  <phoneticPr fontId="2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1433-E65D-41D6-899F-0B78282D8449}">
  <sheetPr codeName="Sheet4"/>
  <dimension ref="A1:H7"/>
  <sheetViews>
    <sheetView tabSelected="1" workbookViewId="0">
      <selection activeCell="J12" sqref="J12"/>
    </sheetView>
  </sheetViews>
  <sheetFormatPr defaultRowHeight="14.4"/>
  <sheetData>
    <row r="1" spans="1:8">
      <c r="A1" s="113">
        <v>1</v>
      </c>
      <c r="B1" s="114">
        <v>2</v>
      </c>
      <c r="C1" s="115">
        <v>3</v>
      </c>
      <c r="D1" s="116">
        <v>4</v>
      </c>
      <c r="E1" s="117">
        <v>5</v>
      </c>
      <c r="F1" s="118">
        <v>6</v>
      </c>
      <c r="G1" s="119">
        <v>7</v>
      </c>
      <c r="H1" s="120">
        <v>8</v>
      </c>
    </row>
    <row r="2" spans="1:8">
      <c r="A2" s="121">
        <v>9</v>
      </c>
      <c r="B2" s="122">
        <v>10</v>
      </c>
      <c r="C2" s="123">
        <v>11</v>
      </c>
      <c r="D2" s="124">
        <v>12</v>
      </c>
      <c r="E2" s="125">
        <v>13</v>
      </c>
      <c r="F2" s="126">
        <v>14</v>
      </c>
      <c r="G2" s="127">
        <v>15</v>
      </c>
      <c r="H2" s="128">
        <v>16</v>
      </c>
    </row>
    <row r="3" spans="1:8">
      <c r="A3" s="129">
        <v>17</v>
      </c>
      <c r="B3" s="130">
        <v>18</v>
      </c>
      <c r="C3" s="131">
        <v>19</v>
      </c>
      <c r="D3" s="132">
        <v>20</v>
      </c>
      <c r="E3" s="133">
        <v>21</v>
      </c>
      <c r="F3" s="134">
        <v>22</v>
      </c>
      <c r="G3" s="135">
        <v>23</v>
      </c>
      <c r="H3" s="136">
        <v>24</v>
      </c>
    </row>
    <row r="4" spans="1:8">
      <c r="A4" s="137">
        <v>25</v>
      </c>
      <c r="B4" s="138">
        <v>26</v>
      </c>
      <c r="C4" s="139">
        <v>27</v>
      </c>
      <c r="D4" s="140">
        <v>28</v>
      </c>
      <c r="E4" s="141">
        <v>29</v>
      </c>
      <c r="F4" s="142">
        <v>30</v>
      </c>
      <c r="G4" s="143">
        <v>31</v>
      </c>
      <c r="H4" s="144">
        <v>32</v>
      </c>
    </row>
    <row r="5" spans="1:8">
      <c r="A5" s="145">
        <v>33</v>
      </c>
      <c r="B5" s="146">
        <v>34</v>
      </c>
      <c r="C5" s="147">
        <v>35</v>
      </c>
      <c r="D5" s="148">
        <v>36</v>
      </c>
      <c r="E5" s="149">
        <v>37</v>
      </c>
      <c r="F5" s="150">
        <v>38</v>
      </c>
      <c r="G5" s="151">
        <v>39</v>
      </c>
      <c r="H5" s="152">
        <v>40</v>
      </c>
    </row>
    <row r="6" spans="1:8">
      <c r="A6" s="153">
        <v>41</v>
      </c>
      <c r="B6" s="154">
        <v>42</v>
      </c>
      <c r="C6" s="155">
        <v>43</v>
      </c>
      <c r="D6" s="156">
        <v>44</v>
      </c>
      <c r="E6" s="157">
        <v>45</v>
      </c>
      <c r="F6" s="158">
        <v>46</v>
      </c>
      <c r="G6" s="159">
        <v>47</v>
      </c>
      <c r="H6" s="160">
        <v>48</v>
      </c>
    </row>
    <row r="7" spans="1:8">
      <c r="A7" s="161">
        <v>49</v>
      </c>
      <c r="B7" s="162">
        <v>50</v>
      </c>
      <c r="C7" s="163">
        <v>51</v>
      </c>
      <c r="D7" s="164">
        <v>52</v>
      </c>
      <c r="E7" s="165">
        <v>53</v>
      </c>
      <c r="F7" s="166">
        <v>54</v>
      </c>
      <c r="G7" s="167">
        <v>55</v>
      </c>
      <c r="H7" s="168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TestResult</vt:lpstr>
      <vt:lpstr>Supplier</vt:lpstr>
      <vt:lpstr>Quotation</vt:lpstr>
      <vt:lpstr>ColorIndex</vt:lpstr>
      <vt:lpstr>고과평가</vt:lpstr>
      <vt:lpstr>프로젝트평가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34061746</cp:lastModifiedBy>
  <dcterms:created xsi:type="dcterms:W3CDTF">2015-11-23T02:43:27Z</dcterms:created>
  <dcterms:modified xsi:type="dcterms:W3CDTF">2021-08-21T02:32:04Z</dcterms:modified>
</cp:coreProperties>
</file>